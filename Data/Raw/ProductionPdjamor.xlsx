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ulpacheco/Documents/Articulos cientificos/CorrelationBC/"/>
    </mc:Choice>
  </mc:AlternateContent>
  <xr:revisionPtr revIDLastSave="0" documentId="13_ncr:1_{5227DA6D-ED9C-ED43-8CB0-5A3351DDC405}" xr6:coauthVersionLast="47" xr6:coauthVersionMax="47" xr10:uidLastSave="{00000000-0000-0000-0000-000000000000}"/>
  <bookViews>
    <workbookView xWindow="7980" yWindow="500" windowWidth="20820" windowHeight="16140" activeTab="1" xr2:uid="{CFE8377D-D0EB-B944-A4E3-37707BC62B37}"/>
  </bookViews>
  <sheets>
    <sheet name="produccion total" sheetId="1" r:id="rId1"/>
    <sheet name="tablapca" sheetId="6" r:id="rId2"/>
    <sheet name="Hoja5" sheetId="5" r:id="rId3"/>
    <sheet name="coco" sheetId="2" r:id="rId4"/>
    <sheet name="jitomate" sheetId="3" r:id="rId5"/>
    <sheet name="cafe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4" l="1"/>
  <c r="H19" i="4"/>
  <c r="I18" i="4"/>
  <c r="H18" i="4"/>
  <c r="I17" i="4"/>
  <c r="H17" i="4"/>
  <c r="I16" i="4"/>
  <c r="H16" i="4"/>
  <c r="I15" i="4"/>
  <c r="H15" i="4"/>
  <c r="I14" i="4"/>
  <c r="H14" i="4"/>
  <c r="I13" i="4"/>
  <c r="H13" i="4"/>
  <c r="I12" i="4"/>
  <c r="H12" i="4"/>
  <c r="I11" i="4"/>
  <c r="H11" i="4"/>
  <c r="I10" i="4"/>
  <c r="H10" i="4"/>
  <c r="I9" i="4"/>
  <c r="H9" i="4"/>
  <c r="I8" i="4"/>
  <c r="H8" i="4"/>
  <c r="I7" i="4"/>
  <c r="H7" i="4"/>
  <c r="I6" i="4"/>
  <c r="H6" i="4"/>
  <c r="I5" i="4"/>
  <c r="H5" i="4"/>
  <c r="I4" i="4"/>
  <c r="H4" i="4"/>
  <c r="I3" i="4"/>
  <c r="H3" i="4"/>
  <c r="I2" i="4"/>
  <c r="H2" i="4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I19" i="3"/>
  <c r="H19" i="3"/>
  <c r="I18" i="3"/>
  <c r="H18" i="3"/>
  <c r="I17" i="3"/>
  <c r="H17" i="3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2" i="1"/>
</calcChain>
</file>

<file path=xl/sharedStrings.xml><?xml version="1.0" encoding="utf-8"?>
<sst xmlns="http://schemas.openxmlformats.org/spreadsheetml/2006/main" count="327" uniqueCount="119">
  <si>
    <t>Trtatamiento</t>
  </si>
  <si>
    <t>sustrato</t>
  </si>
  <si>
    <t>porcentaje de sustrato</t>
  </si>
  <si>
    <t>Repetición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</si>
  <si>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</si>
  <si>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</si>
  <si>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</si>
  <si>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</si>
  <si>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</si>
  <si>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</si>
  <si>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</si>
  <si>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</si>
  <si>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</si>
  <si>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</si>
  <si>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</si>
  <si>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</si>
  <si>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</si>
  <si>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</si>
  <si>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</si>
  <si>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</si>
  <si>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Coco</t>
  </si>
  <si>
    <t>Jitomate</t>
  </si>
  <si>
    <t>Café</t>
  </si>
  <si>
    <t>Cebada</t>
  </si>
  <si>
    <t>Peso seco</t>
  </si>
  <si>
    <t>Peso fresco</t>
  </si>
  <si>
    <t>cosecha</t>
  </si>
  <si>
    <t>EB</t>
  </si>
  <si>
    <t>Rendimiento</t>
  </si>
  <si>
    <t>Control</t>
  </si>
  <si>
    <t>tx</t>
  </si>
  <si>
    <t>Tratamiento</t>
  </si>
  <si>
    <t>fenioles</t>
  </si>
  <si>
    <t>tratamientos</t>
  </si>
  <si>
    <t>C1-1</t>
  </si>
  <si>
    <t>C1-2</t>
  </si>
  <si>
    <t>C1-3</t>
  </si>
  <si>
    <t>C2-1</t>
  </si>
  <si>
    <t>C2-2</t>
  </si>
  <si>
    <t>C2-3</t>
  </si>
  <si>
    <t>C3-1</t>
  </si>
  <si>
    <t>C3-2</t>
  </si>
  <si>
    <t>C3-3</t>
  </si>
  <si>
    <t>C4-1</t>
  </si>
  <si>
    <t>C4-2</t>
  </si>
  <si>
    <t>C4-3</t>
  </si>
  <si>
    <t>C5-1</t>
  </si>
  <si>
    <t>C5-2</t>
  </si>
  <si>
    <t>C5-3</t>
  </si>
  <si>
    <t>J1-1</t>
  </si>
  <si>
    <t>J1-2</t>
  </si>
  <si>
    <t>J1-3</t>
  </si>
  <si>
    <t>J2-1</t>
  </si>
  <si>
    <t>J2-2</t>
  </si>
  <si>
    <t>J2-3</t>
  </si>
  <si>
    <t>J3-1</t>
  </si>
  <si>
    <t>J3-2</t>
  </si>
  <si>
    <t>J3-3</t>
  </si>
  <si>
    <t>J4-1</t>
  </si>
  <si>
    <t>J4-2</t>
  </si>
  <si>
    <t>J4-3</t>
  </si>
  <si>
    <t>J5-1</t>
  </si>
  <si>
    <t>J5-2</t>
  </si>
  <si>
    <t>J5-3</t>
  </si>
  <si>
    <t>CC1-1</t>
  </si>
  <si>
    <t>CC1-2</t>
  </si>
  <si>
    <t>CC1-3</t>
  </si>
  <si>
    <t>CC2-1</t>
  </si>
  <si>
    <t>CC2-2</t>
  </si>
  <si>
    <t>CC2-3</t>
  </si>
  <si>
    <t>CC3-1</t>
  </si>
  <si>
    <t>CC3-2</t>
  </si>
  <si>
    <t>CC3-3</t>
  </si>
  <si>
    <t>CC4-1</t>
  </si>
  <si>
    <t>CC4-2</t>
  </si>
  <si>
    <t>CC4-3</t>
  </si>
  <si>
    <t>CC5-1</t>
  </si>
  <si>
    <t>CC5-2</t>
  </si>
  <si>
    <t>CC5-3</t>
  </si>
  <si>
    <t>CEB1</t>
  </si>
  <si>
    <t>CEB2</t>
  </si>
  <si>
    <t>CEB3</t>
  </si>
  <si>
    <t>flavonoides</t>
  </si>
  <si>
    <t>SampleID</t>
  </si>
  <si>
    <t>Yield</t>
  </si>
  <si>
    <t>BE</t>
  </si>
  <si>
    <t>Coconut fiber_20_co1.1</t>
  </si>
  <si>
    <t>Coconut fiber_20_co1.2</t>
  </si>
  <si>
    <t>Coconut fiber_20_co1.3</t>
  </si>
  <si>
    <t>Coconut fiber_40_co2.1</t>
  </si>
  <si>
    <t>Coconut fiber_40_co2.2</t>
  </si>
  <si>
    <t>Coconut fiber_40_co2.3</t>
  </si>
  <si>
    <t>Coconut fiber_60_co3.1</t>
  </si>
  <si>
    <t>Coconut fiber_60_co3.2</t>
  </si>
  <si>
    <t>Coconut fiber_60_co3.3</t>
  </si>
  <si>
    <t>Coconut fiber_80_co4.1</t>
  </si>
  <si>
    <t>Coconut fiber_80_co4.2</t>
  </si>
  <si>
    <t>Coconut fiber_80_co4.3</t>
  </si>
  <si>
    <t>Coconut fiber_100_co5.1</t>
  </si>
  <si>
    <t>Coconut fiber_100_co5.2</t>
  </si>
  <si>
    <t>Coconut fiber_100_co5.3</t>
  </si>
  <si>
    <t>Coffee husk_20_ca1.1</t>
  </si>
  <si>
    <t>Coffee husk_20_ca1.2</t>
  </si>
  <si>
    <t>Coffee husk_20_ca1.3</t>
  </si>
  <si>
    <t>Coffee husk_40_ca2.1</t>
  </si>
  <si>
    <t>Coffee husk_40_ca2.2</t>
  </si>
  <si>
    <t>Coffee husk_40_ca2.3</t>
  </si>
  <si>
    <t>Coffee husk_60_ca3.1</t>
  </si>
  <si>
    <t>Coffee husk_60_ca3.2</t>
  </si>
  <si>
    <t>Coffee husk_60_ca3.3</t>
  </si>
  <si>
    <t>Coffee husk_80_ca4.1</t>
  </si>
  <si>
    <t>Coffee husk_80_ca4.2</t>
  </si>
  <si>
    <t>Coffee husk_80_ca4.3</t>
  </si>
  <si>
    <t>Coffee husk_100_ca5.1</t>
  </si>
  <si>
    <t>Coffee husk_100_ca5.2</t>
  </si>
  <si>
    <t>Coffee husk_100_ca5.3</t>
  </si>
  <si>
    <t>Barley Straw_100_ce1.1</t>
  </si>
  <si>
    <t>Barley Straw_100_ce1.2</t>
  </si>
  <si>
    <t>Barley Straw_100_ce1.3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</si>
</sst>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AAE9-174D-864F-84D3-7589854BA761}">
  <dimension ref="A1:I49"/>
  <sheetViews>
    <sheetView topLeftCell="A23" workbookViewId="0">
      <selection activeCell="C55" sqref="C55"/>
    </sheetView>
  </sheetViews>
  <sheetFormatPr baseColWidth="10" defaultRowHeight="16" x14ac:dyDescent="0.2"/>
  <sheetData>
    <row r="1" spans="1:9" x14ac:dyDescent="0.2">
      <c r="A1" t="s">
        <v>0</v>
      </c>
      <c r="B1" t="s">
        <v>3</v>
      </c>
      <c r="C1" t="s">
        <v>1</v>
      </c>
      <c r="D1" t="s">
        <v>2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</row>
    <row r="2" spans="1:9" x14ac:dyDescent="0.2">
      <c r="A2" t="s">
        <v>4</v>
      </c>
      <c r="B2">
        <v>1</v>
      </c>
      <c r="C2" t="s">
        <v>20</v>
      </c>
      <c r="D2">
        <v>20</v>
      </c>
      <c r="E2">
        <v>1000</v>
      </c>
      <c r="F2">
        <v>4565</v>
      </c>
      <c r="G2">
        <v>860</v>
      </c>
      <c r="H2">
        <f>G2/E2*100</f>
        <v>86</v>
      </c>
      <c r="I2" s="1">
        <f>G2/F2*100</f>
        <v>18.838992332968239</v>
      </c>
    </row>
    <row r="3" spans="1:9" x14ac:dyDescent="0.2">
      <c r="A3" t="s">
        <v>4</v>
      </c>
      <c r="B3">
        <v>2</v>
      </c>
      <c r="C3" t="s">
        <v>20</v>
      </c>
      <c r="D3">
        <v>20</v>
      </c>
      <c r="E3">
        <v>1000</v>
      </c>
      <c r="F3">
        <v>4570</v>
      </c>
      <c r="G3">
        <v>736</v>
      </c>
      <c r="H3">
        <f t="shared" ref="H3:H49" si="0">G3/E3*100</f>
        <v>73.599999999999994</v>
      </c>
      <c r="I3" s="1">
        <f t="shared" ref="I3:I49" si="1">G3/F3*100</f>
        <v>16.105032822757114</v>
      </c>
    </row>
    <row r="4" spans="1:9" x14ac:dyDescent="0.2">
      <c r="A4" t="s">
        <v>4</v>
      </c>
      <c r="B4">
        <v>3</v>
      </c>
      <c r="C4" t="s">
        <v>20</v>
      </c>
      <c r="D4">
        <v>20</v>
      </c>
      <c r="E4">
        <v>1000</v>
      </c>
      <c r="F4">
        <v>4565</v>
      </c>
      <c r="G4">
        <v>1012</v>
      </c>
      <c r="H4">
        <f t="shared" si="0"/>
        <v>101.2</v>
      </c>
      <c r="I4" s="1">
        <f t="shared" si="1"/>
        <v>22.168674698795179</v>
      </c>
    </row>
    <row r="5" spans="1:9" x14ac:dyDescent="0.2">
      <c r="A5" t="s">
        <v>5</v>
      </c>
      <c r="B5">
        <v>1</v>
      </c>
      <c r="C5" t="s">
        <v>20</v>
      </c>
      <c r="D5">
        <v>40</v>
      </c>
      <c r="E5">
        <v>1000</v>
      </c>
      <c r="F5">
        <v>4400</v>
      </c>
      <c r="G5">
        <v>902</v>
      </c>
      <c r="H5">
        <f t="shared" si="0"/>
        <v>90.2</v>
      </c>
      <c r="I5" s="1">
        <f t="shared" si="1"/>
        <v>20.5</v>
      </c>
    </row>
    <row r="6" spans="1:9" x14ac:dyDescent="0.2">
      <c r="A6" t="s">
        <v>5</v>
      </c>
      <c r="B6">
        <v>2</v>
      </c>
      <c r="C6" t="s">
        <v>20</v>
      </c>
      <c r="D6">
        <v>40</v>
      </c>
      <c r="E6">
        <v>1000</v>
      </c>
      <c r="F6">
        <v>4375</v>
      </c>
      <c r="G6">
        <v>962</v>
      </c>
      <c r="H6">
        <f t="shared" si="0"/>
        <v>96.2</v>
      </c>
      <c r="I6" s="1">
        <f t="shared" si="1"/>
        <v>21.988571428571429</v>
      </c>
    </row>
    <row r="7" spans="1:9" x14ac:dyDescent="0.2">
      <c r="A7" t="s">
        <v>5</v>
      </c>
      <c r="B7">
        <v>3</v>
      </c>
      <c r="C7" t="s">
        <v>20</v>
      </c>
      <c r="D7">
        <v>40</v>
      </c>
      <c r="E7">
        <v>1000</v>
      </c>
      <c r="F7">
        <v>4395</v>
      </c>
      <c r="G7">
        <v>762</v>
      </c>
      <c r="H7">
        <f t="shared" si="0"/>
        <v>76.2</v>
      </c>
      <c r="I7" s="1">
        <f t="shared" si="1"/>
        <v>17.337883959044369</v>
      </c>
    </row>
    <row r="8" spans="1:9" x14ac:dyDescent="0.2">
      <c r="A8" t="s">
        <v>6</v>
      </c>
      <c r="B8">
        <v>1</v>
      </c>
      <c r="C8" t="s">
        <v>20</v>
      </c>
      <c r="D8">
        <v>60</v>
      </c>
      <c r="E8">
        <v>1000</v>
      </c>
      <c r="F8">
        <v>4225</v>
      </c>
      <c r="G8">
        <v>528</v>
      </c>
      <c r="H8">
        <f t="shared" si="0"/>
        <v>52.800000000000004</v>
      </c>
      <c r="I8" s="1">
        <f t="shared" si="1"/>
        <v>12.497041420118343</v>
      </c>
    </row>
    <row r="9" spans="1:9" x14ac:dyDescent="0.2">
      <c r="A9" t="s">
        <v>6</v>
      </c>
      <c r="B9">
        <v>2</v>
      </c>
      <c r="C9" t="s">
        <v>20</v>
      </c>
      <c r="D9">
        <v>60</v>
      </c>
      <c r="E9">
        <v>1000</v>
      </c>
      <c r="F9">
        <v>4225</v>
      </c>
      <c r="G9">
        <v>620</v>
      </c>
      <c r="H9">
        <f t="shared" si="0"/>
        <v>62</v>
      </c>
      <c r="I9" s="1">
        <f t="shared" si="1"/>
        <v>14.67455621301775</v>
      </c>
    </row>
    <row r="10" spans="1:9" x14ac:dyDescent="0.2">
      <c r="A10" t="s">
        <v>6</v>
      </c>
      <c r="B10">
        <v>3</v>
      </c>
      <c r="C10" t="s">
        <v>20</v>
      </c>
      <c r="D10">
        <v>60</v>
      </c>
      <c r="E10">
        <v>1000</v>
      </c>
      <c r="F10">
        <v>4230</v>
      </c>
      <c r="G10">
        <v>658</v>
      </c>
      <c r="H10">
        <f t="shared" si="0"/>
        <v>65.8</v>
      </c>
      <c r="I10" s="1">
        <f t="shared" si="1"/>
        <v>15.555555555555555</v>
      </c>
    </row>
    <row r="11" spans="1:9" x14ac:dyDescent="0.2">
      <c r="A11" t="s">
        <v>7</v>
      </c>
      <c r="B11">
        <v>1</v>
      </c>
      <c r="C11" t="s">
        <v>20</v>
      </c>
      <c r="D11">
        <v>80</v>
      </c>
      <c r="E11">
        <v>1000</v>
      </c>
      <c r="F11">
        <v>4005</v>
      </c>
      <c r="G11">
        <v>656</v>
      </c>
      <c r="H11">
        <f t="shared" si="0"/>
        <v>65.600000000000009</v>
      </c>
      <c r="I11" s="1">
        <f t="shared" si="1"/>
        <v>16.37952559300874</v>
      </c>
    </row>
    <row r="12" spans="1:9" x14ac:dyDescent="0.2">
      <c r="A12" t="s">
        <v>7</v>
      </c>
      <c r="B12">
        <v>2</v>
      </c>
      <c r="C12" t="s">
        <v>20</v>
      </c>
      <c r="D12">
        <v>80</v>
      </c>
      <c r="E12">
        <v>1000</v>
      </c>
      <c r="F12">
        <v>3965</v>
      </c>
      <c r="G12">
        <v>426</v>
      </c>
      <c r="H12">
        <f t="shared" si="0"/>
        <v>42.6</v>
      </c>
      <c r="I12" s="1">
        <f t="shared" si="1"/>
        <v>10.744010088272384</v>
      </c>
    </row>
    <row r="13" spans="1:9" x14ac:dyDescent="0.2">
      <c r="A13" t="s">
        <v>7</v>
      </c>
      <c r="B13">
        <v>3</v>
      </c>
      <c r="C13" t="s">
        <v>20</v>
      </c>
      <c r="D13">
        <v>80</v>
      </c>
      <c r="E13">
        <v>1000</v>
      </c>
      <c r="F13">
        <v>4020</v>
      </c>
      <c r="G13">
        <v>452</v>
      </c>
      <c r="H13">
        <f t="shared" si="0"/>
        <v>45.2</v>
      </c>
      <c r="I13" s="1">
        <f t="shared" si="1"/>
        <v>11.243781094527364</v>
      </c>
    </row>
    <row r="14" spans="1:9" x14ac:dyDescent="0.2">
      <c r="A14" t="s">
        <v>8</v>
      </c>
      <c r="B14">
        <v>1</v>
      </c>
      <c r="C14" t="s">
        <v>20</v>
      </c>
      <c r="D14">
        <v>100</v>
      </c>
      <c r="E14">
        <v>1000</v>
      </c>
      <c r="F14">
        <v>3025</v>
      </c>
      <c r="G14">
        <v>170</v>
      </c>
      <c r="H14">
        <f t="shared" si="0"/>
        <v>17</v>
      </c>
      <c r="I14" s="1">
        <f t="shared" si="1"/>
        <v>5.6198347107438016</v>
      </c>
    </row>
    <row r="15" spans="1:9" x14ac:dyDescent="0.2">
      <c r="A15" t="s">
        <v>8</v>
      </c>
      <c r="B15">
        <v>2</v>
      </c>
      <c r="C15" t="s">
        <v>20</v>
      </c>
      <c r="D15">
        <v>100</v>
      </c>
      <c r="E15">
        <v>1000</v>
      </c>
      <c r="F15">
        <v>3015</v>
      </c>
      <c r="G15">
        <v>346</v>
      </c>
      <c r="H15">
        <f t="shared" si="0"/>
        <v>34.599999999999994</v>
      </c>
      <c r="I15" s="1">
        <f t="shared" si="1"/>
        <v>11.475953565505804</v>
      </c>
    </row>
    <row r="16" spans="1:9" x14ac:dyDescent="0.2">
      <c r="A16" t="s">
        <v>8</v>
      </c>
      <c r="B16">
        <v>3</v>
      </c>
      <c r="C16" t="s">
        <v>20</v>
      </c>
      <c r="D16">
        <v>100</v>
      </c>
      <c r="E16">
        <v>1000</v>
      </c>
      <c r="F16">
        <v>3020</v>
      </c>
      <c r="G16">
        <v>244</v>
      </c>
      <c r="H16">
        <f t="shared" si="0"/>
        <v>24.4</v>
      </c>
      <c r="I16" s="1">
        <f t="shared" si="1"/>
        <v>8.0794701986754962</v>
      </c>
    </row>
    <row r="17" spans="1:9" x14ac:dyDescent="0.2">
      <c r="A17" t="s">
        <v>9</v>
      </c>
      <c r="B17">
        <v>1</v>
      </c>
      <c r="C17" t="s">
        <v>21</v>
      </c>
      <c r="D17">
        <v>20</v>
      </c>
      <c r="E17">
        <v>1000</v>
      </c>
      <c r="F17">
        <v>4435</v>
      </c>
      <c r="G17">
        <v>692</v>
      </c>
      <c r="H17">
        <f t="shared" si="0"/>
        <v>69.199999999999989</v>
      </c>
      <c r="I17" s="1">
        <f t="shared" si="1"/>
        <v>15.603156708004509</v>
      </c>
    </row>
    <row r="18" spans="1:9" x14ac:dyDescent="0.2">
      <c r="A18" t="s">
        <v>9</v>
      </c>
      <c r="B18">
        <v>2</v>
      </c>
      <c r="C18" t="s">
        <v>21</v>
      </c>
      <c r="D18">
        <v>20</v>
      </c>
      <c r="E18">
        <v>1000</v>
      </c>
      <c r="F18">
        <v>4435</v>
      </c>
      <c r="G18">
        <v>788</v>
      </c>
      <c r="H18">
        <f t="shared" si="0"/>
        <v>78.8</v>
      </c>
      <c r="I18" s="1">
        <f t="shared" si="1"/>
        <v>17.767756482525364</v>
      </c>
    </row>
    <row r="19" spans="1:9" x14ac:dyDescent="0.2">
      <c r="A19" t="s">
        <v>9</v>
      </c>
      <c r="B19">
        <v>3</v>
      </c>
      <c r="C19" t="s">
        <v>21</v>
      </c>
      <c r="D19">
        <v>20</v>
      </c>
      <c r="E19">
        <v>1000</v>
      </c>
      <c r="F19">
        <v>4425</v>
      </c>
      <c r="G19">
        <v>432</v>
      </c>
      <c r="H19">
        <f t="shared" si="0"/>
        <v>43.2</v>
      </c>
      <c r="I19" s="1">
        <f t="shared" si="1"/>
        <v>9.7627118644067803</v>
      </c>
    </row>
    <row r="20" spans="1:9" x14ac:dyDescent="0.2">
      <c r="A20" t="s">
        <v>10</v>
      </c>
      <c r="B20">
        <v>1</v>
      </c>
      <c r="C20" t="s">
        <v>21</v>
      </c>
      <c r="D20">
        <v>40</v>
      </c>
      <c r="E20">
        <v>1000</v>
      </c>
      <c r="F20">
        <v>4030</v>
      </c>
      <c r="G20">
        <v>633</v>
      </c>
      <c r="H20">
        <f t="shared" si="0"/>
        <v>63.3</v>
      </c>
      <c r="I20" s="1">
        <f t="shared" si="1"/>
        <v>15.707196029776673</v>
      </c>
    </row>
    <row r="21" spans="1:9" x14ac:dyDescent="0.2">
      <c r="A21" t="s">
        <v>10</v>
      </c>
      <c r="B21">
        <v>2</v>
      </c>
      <c r="C21" t="s">
        <v>21</v>
      </c>
      <c r="D21">
        <v>40</v>
      </c>
      <c r="E21">
        <v>1000</v>
      </c>
      <c r="F21">
        <v>4030</v>
      </c>
      <c r="G21">
        <v>874</v>
      </c>
      <c r="H21">
        <f t="shared" si="0"/>
        <v>87.4</v>
      </c>
      <c r="I21" s="1">
        <f t="shared" si="1"/>
        <v>21.687344913151367</v>
      </c>
    </row>
    <row r="22" spans="1:9" x14ac:dyDescent="0.2">
      <c r="A22" t="s">
        <v>10</v>
      </c>
      <c r="B22">
        <v>3</v>
      </c>
      <c r="C22" t="s">
        <v>21</v>
      </c>
      <c r="D22">
        <v>40</v>
      </c>
      <c r="E22">
        <v>1000</v>
      </c>
      <c r="F22">
        <v>3805</v>
      </c>
      <c r="G22">
        <v>708</v>
      </c>
      <c r="H22">
        <f t="shared" si="0"/>
        <v>70.8</v>
      </c>
      <c r="I22" s="1">
        <f t="shared" si="1"/>
        <v>18.607095926412615</v>
      </c>
    </row>
    <row r="23" spans="1:9" x14ac:dyDescent="0.2">
      <c r="A23" t="s">
        <v>11</v>
      </c>
      <c r="B23">
        <v>1</v>
      </c>
      <c r="C23" t="s">
        <v>21</v>
      </c>
      <c r="D23">
        <v>60</v>
      </c>
      <c r="E23">
        <v>1000</v>
      </c>
      <c r="F23">
        <v>3680</v>
      </c>
      <c r="G23">
        <v>808</v>
      </c>
      <c r="H23">
        <f t="shared" si="0"/>
        <v>80.800000000000011</v>
      </c>
      <c r="I23" s="1">
        <f t="shared" si="1"/>
        <v>21.956521739130437</v>
      </c>
    </row>
    <row r="24" spans="1:9" x14ac:dyDescent="0.2">
      <c r="A24" t="s">
        <v>11</v>
      </c>
      <c r="B24">
        <v>2</v>
      </c>
      <c r="C24" t="s">
        <v>21</v>
      </c>
      <c r="D24">
        <v>60</v>
      </c>
      <c r="E24">
        <v>1000</v>
      </c>
      <c r="F24">
        <v>3730</v>
      </c>
      <c r="G24">
        <v>806</v>
      </c>
      <c r="H24">
        <f t="shared" si="0"/>
        <v>80.600000000000009</v>
      </c>
      <c r="I24" s="1">
        <f t="shared" si="1"/>
        <v>21.608579088471849</v>
      </c>
    </row>
    <row r="25" spans="1:9" x14ac:dyDescent="0.2">
      <c r="A25" t="s">
        <v>11</v>
      </c>
      <c r="B25">
        <v>3</v>
      </c>
      <c r="C25" t="s">
        <v>21</v>
      </c>
      <c r="D25">
        <v>60</v>
      </c>
      <c r="E25">
        <v>1000</v>
      </c>
      <c r="F25">
        <v>3745</v>
      </c>
      <c r="G25">
        <v>790</v>
      </c>
      <c r="H25">
        <f t="shared" si="0"/>
        <v>79</v>
      </c>
      <c r="I25" s="1">
        <f t="shared" si="1"/>
        <v>21.094793057409881</v>
      </c>
    </row>
    <row r="26" spans="1:9" x14ac:dyDescent="0.2">
      <c r="A26" t="s">
        <v>12</v>
      </c>
      <c r="B26">
        <v>1</v>
      </c>
      <c r="C26" t="s">
        <v>21</v>
      </c>
      <c r="D26">
        <v>80</v>
      </c>
      <c r="E26">
        <v>1000</v>
      </c>
      <c r="F26">
        <v>3400</v>
      </c>
      <c r="G26">
        <v>1764</v>
      </c>
      <c r="H26">
        <f t="shared" si="0"/>
        <v>176.4</v>
      </c>
      <c r="I26" s="1">
        <f t="shared" si="1"/>
        <v>51.882352941176471</v>
      </c>
    </row>
    <row r="27" spans="1:9" x14ac:dyDescent="0.2">
      <c r="A27" t="s">
        <v>12</v>
      </c>
      <c r="B27">
        <v>2</v>
      </c>
      <c r="C27" t="s">
        <v>21</v>
      </c>
      <c r="D27">
        <v>80</v>
      </c>
      <c r="E27">
        <v>1000</v>
      </c>
      <c r="F27">
        <v>2795</v>
      </c>
      <c r="G27">
        <v>1228</v>
      </c>
      <c r="H27">
        <f t="shared" si="0"/>
        <v>122.8</v>
      </c>
      <c r="I27" s="1">
        <f t="shared" si="1"/>
        <v>43.935599284436492</v>
      </c>
    </row>
    <row r="28" spans="1:9" x14ac:dyDescent="0.2">
      <c r="A28" t="s">
        <v>12</v>
      </c>
      <c r="B28">
        <v>3</v>
      </c>
      <c r="C28" t="s">
        <v>21</v>
      </c>
      <c r="D28">
        <v>80</v>
      </c>
      <c r="E28">
        <v>1000</v>
      </c>
      <c r="F28">
        <v>2785</v>
      </c>
      <c r="G28">
        <v>1228</v>
      </c>
      <c r="H28">
        <f t="shared" si="0"/>
        <v>122.8</v>
      </c>
      <c r="I28" s="1">
        <f t="shared" si="1"/>
        <v>44.093357271095151</v>
      </c>
    </row>
    <row r="29" spans="1:9" x14ac:dyDescent="0.2">
      <c r="A29" t="s">
        <v>13</v>
      </c>
      <c r="B29">
        <v>1</v>
      </c>
      <c r="C29" t="s">
        <v>21</v>
      </c>
      <c r="D29">
        <v>100</v>
      </c>
      <c r="E29">
        <v>1000</v>
      </c>
      <c r="F29">
        <v>3000</v>
      </c>
      <c r="G29">
        <v>632</v>
      </c>
      <c r="H29">
        <f t="shared" si="0"/>
        <v>63.2</v>
      </c>
      <c r="I29" s="1">
        <f t="shared" si="1"/>
        <v>21.066666666666666</v>
      </c>
    </row>
    <row r="30" spans="1:9" x14ac:dyDescent="0.2">
      <c r="A30" t="s">
        <v>13</v>
      </c>
      <c r="B30">
        <v>2</v>
      </c>
      <c r="C30" t="s">
        <v>21</v>
      </c>
      <c r="D30">
        <v>100</v>
      </c>
      <c r="E30">
        <v>1000</v>
      </c>
      <c r="F30">
        <v>3000</v>
      </c>
      <c r="G30">
        <v>694</v>
      </c>
      <c r="H30">
        <f t="shared" si="0"/>
        <v>69.399999999999991</v>
      </c>
      <c r="I30" s="1">
        <f t="shared" si="1"/>
        <v>23.133333333333333</v>
      </c>
    </row>
    <row r="31" spans="1:9" x14ac:dyDescent="0.2">
      <c r="A31" t="s">
        <v>13</v>
      </c>
      <c r="B31">
        <v>3</v>
      </c>
      <c r="C31" t="s">
        <v>21</v>
      </c>
      <c r="D31">
        <v>100</v>
      </c>
      <c r="E31">
        <v>1000</v>
      </c>
      <c r="F31">
        <v>3000</v>
      </c>
      <c r="G31">
        <v>734</v>
      </c>
      <c r="H31">
        <f t="shared" si="0"/>
        <v>73.400000000000006</v>
      </c>
      <c r="I31" s="1">
        <f t="shared" si="1"/>
        <v>24.466666666666669</v>
      </c>
    </row>
    <row r="32" spans="1:9" x14ac:dyDescent="0.2">
      <c r="A32" t="s">
        <v>14</v>
      </c>
      <c r="B32">
        <v>1</v>
      </c>
      <c r="C32" t="s">
        <v>22</v>
      </c>
      <c r="D32">
        <v>20</v>
      </c>
      <c r="E32">
        <v>1000</v>
      </c>
      <c r="F32">
        <v>4445</v>
      </c>
      <c r="G32">
        <v>466</v>
      </c>
      <c r="H32">
        <f t="shared" si="0"/>
        <v>46.6</v>
      </c>
      <c r="I32" s="1">
        <f t="shared" si="1"/>
        <v>10.483689538807649</v>
      </c>
    </row>
    <row r="33" spans="1:9" x14ac:dyDescent="0.2">
      <c r="A33" t="s">
        <v>14</v>
      </c>
      <c r="B33">
        <v>2</v>
      </c>
      <c r="C33" t="s">
        <v>22</v>
      </c>
      <c r="D33">
        <v>20</v>
      </c>
      <c r="E33">
        <v>1000</v>
      </c>
      <c r="F33">
        <v>4390</v>
      </c>
      <c r="G33">
        <v>442</v>
      </c>
      <c r="H33">
        <f t="shared" si="0"/>
        <v>44.2</v>
      </c>
      <c r="I33" s="1">
        <f t="shared" si="1"/>
        <v>10.068337129840547</v>
      </c>
    </row>
    <row r="34" spans="1:9" x14ac:dyDescent="0.2">
      <c r="A34" t="s">
        <v>14</v>
      </c>
      <c r="B34">
        <v>3</v>
      </c>
      <c r="C34" t="s">
        <v>22</v>
      </c>
      <c r="D34">
        <v>20</v>
      </c>
      <c r="E34">
        <v>1000</v>
      </c>
      <c r="F34">
        <v>4445</v>
      </c>
      <c r="G34">
        <v>552</v>
      </c>
      <c r="H34">
        <f t="shared" si="0"/>
        <v>55.2</v>
      </c>
      <c r="I34" s="1">
        <f t="shared" si="1"/>
        <v>12.418447694038246</v>
      </c>
    </row>
    <row r="35" spans="1:9" x14ac:dyDescent="0.2">
      <c r="A35" t="s">
        <v>15</v>
      </c>
      <c r="B35">
        <v>1</v>
      </c>
      <c r="C35" t="s">
        <v>22</v>
      </c>
      <c r="D35">
        <v>40</v>
      </c>
      <c r="E35">
        <v>1000</v>
      </c>
      <c r="F35">
        <v>4035</v>
      </c>
      <c r="G35">
        <v>452</v>
      </c>
      <c r="H35">
        <f t="shared" si="0"/>
        <v>45.2</v>
      </c>
      <c r="I35" s="1">
        <f t="shared" si="1"/>
        <v>11.201982651796778</v>
      </c>
    </row>
    <row r="36" spans="1:9" x14ac:dyDescent="0.2">
      <c r="A36" t="s">
        <v>15</v>
      </c>
      <c r="B36">
        <v>2</v>
      </c>
      <c r="C36" t="s">
        <v>22</v>
      </c>
      <c r="D36">
        <v>40</v>
      </c>
      <c r="E36">
        <v>1000</v>
      </c>
      <c r="F36">
        <v>4085</v>
      </c>
      <c r="G36">
        <v>474</v>
      </c>
      <c r="H36">
        <f t="shared" si="0"/>
        <v>47.4</v>
      </c>
      <c r="I36" s="1">
        <f t="shared" si="1"/>
        <v>11.60342717258262</v>
      </c>
    </row>
    <row r="37" spans="1:9" x14ac:dyDescent="0.2">
      <c r="A37" t="s">
        <v>15</v>
      </c>
      <c r="B37">
        <v>3</v>
      </c>
      <c r="C37" t="s">
        <v>22</v>
      </c>
      <c r="D37">
        <v>40</v>
      </c>
      <c r="E37">
        <v>1000</v>
      </c>
      <c r="F37">
        <v>4090</v>
      </c>
      <c r="G37">
        <v>808</v>
      </c>
      <c r="H37">
        <f t="shared" si="0"/>
        <v>80.800000000000011</v>
      </c>
      <c r="I37" s="1">
        <f t="shared" si="1"/>
        <v>19.755501222493887</v>
      </c>
    </row>
    <row r="38" spans="1:9" x14ac:dyDescent="0.2">
      <c r="A38" t="s">
        <v>16</v>
      </c>
      <c r="B38">
        <v>1</v>
      </c>
      <c r="C38" t="s">
        <v>22</v>
      </c>
      <c r="D38">
        <v>60</v>
      </c>
      <c r="E38">
        <v>1000</v>
      </c>
      <c r="F38">
        <v>3730</v>
      </c>
      <c r="G38">
        <v>1272</v>
      </c>
      <c r="H38">
        <f t="shared" si="0"/>
        <v>127.2</v>
      </c>
      <c r="I38" s="1">
        <f t="shared" si="1"/>
        <v>34.101876675603215</v>
      </c>
    </row>
    <row r="39" spans="1:9" x14ac:dyDescent="0.2">
      <c r="A39" t="s">
        <v>16</v>
      </c>
      <c r="B39">
        <v>2</v>
      </c>
      <c r="C39" t="s">
        <v>22</v>
      </c>
      <c r="D39">
        <v>60</v>
      </c>
      <c r="E39">
        <v>1000</v>
      </c>
      <c r="F39">
        <v>3735</v>
      </c>
      <c r="G39">
        <v>912</v>
      </c>
      <c r="H39">
        <f t="shared" si="0"/>
        <v>91.2</v>
      </c>
      <c r="I39" s="1">
        <f t="shared" si="1"/>
        <v>24.417670682730925</v>
      </c>
    </row>
    <row r="40" spans="1:9" x14ac:dyDescent="0.2">
      <c r="A40" t="s">
        <v>16</v>
      </c>
      <c r="B40">
        <v>3</v>
      </c>
      <c r="C40" t="s">
        <v>22</v>
      </c>
      <c r="D40">
        <v>60</v>
      </c>
      <c r="E40">
        <v>1000</v>
      </c>
      <c r="F40">
        <v>3730</v>
      </c>
      <c r="G40">
        <v>864</v>
      </c>
      <c r="H40">
        <f t="shared" si="0"/>
        <v>86.4</v>
      </c>
      <c r="I40" s="1">
        <f t="shared" si="1"/>
        <v>23.163538873994639</v>
      </c>
    </row>
    <row r="41" spans="1:9" x14ac:dyDescent="0.2">
      <c r="A41" t="s">
        <v>17</v>
      </c>
      <c r="B41">
        <v>1</v>
      </c>
      <c r="C41" t="s">
        <v>22</v>
      </c>
      <c r="D41">
        <v>80</v>
      </c>
      <c r="E41">
        <v>1000</v>
      </c>
      <c r="F41">
        <v>3370</v>
      </c>
      <c r="G41">
        <v>1719</v>
      </c>
      <c r="H41">
        <f t="shared" si="0"/>
        <v>171.9</v>
      </c>
      <c r="I41" s="1">
        <f t="shared" si="1"/>
        <v>51.008902077151333</v>
      </c>
    </row>
    <row r="42" spans="1:9" x14ac:dyDescent="0.2">
      <c r="A42" t="s">
        <v>17</v>
      </c>
      <c r="B42">
        <v>2</v>
      </c>
      <c r="C42" t="s">
        <v>22</v>
      </c>
      <c r="D42">
        <v>80</v>
      </c>
      <c r="E42">
        <v>1000</v>
      </c>
      <c r="F42">
        <v>3370</v>
      </c>
      <c r="G42">
        <v>1030</v>
      </c>
      <c r="H42">
        <f t="shared" si="0"/>
        <v>103</v>
      </c>
      <c r="I42" s="1">
        <f t="shared" si="1"/>
        <v>30.563798219584569</v>
      </c>
    </row>
    <row r="43" spans="1:9" x14ac:dyDescent="0.2">
      <c r="A43" t="s">
        <v>17</v>
      </c>
      <c r="B43">
        <v>3</v>
      </c>
      <c r="C43" t="s">
        <v>22</v>
      </c>
      <c r="D43">
        <v>80</v>
      </c>
      <c r="E43">
        <v>1000</v>
      </c>
      <c r="F43">
        <v>3365</v>
      </c>
      <c r="G43">
        <v>1178</v>
      </c>
      <c r="H43">
        <f t="shared" si="0"/>
        <v>117.8</v>
      </c>
      <c r="I43" s="1">
        <f t="shared" si="1"/>
        <v>35.007429420505197</v>
      </c>
    </row>
    <row r="44" spans="1:9" x14ac:dyDescent="0.2">
      <c r="A44" t="s">
        <v>18</v>
      </c>
      <c r="B44">
        <v>1</v>
      </c>
      <c r="C44" t="s">
        <v>22</v>
      </c>
      <c r="D44">
        <v>100</v>
      </c>
      <c r="E44">
        <v>1000</v>
      </c>
      <c r="F44">
        <v>3015</v>
      </c>
      <c r="G44">
        <v>774</v>
      </c>
      <c r="H44">
        <f t="shared" si="0"/>
        <v>77.400000000000006</v>
      </c>
      <c r="I44" s="1">
        <f t="shared" si="1"/>
        <v>25.671641791044774</v>
      </c>
    </row>
    <row r="45" spans="1:9" x14ac:dyDescent="0.2">
      <c r="A45" t="s">
        <v>18</v>
      </c>
      <c r="B45">
        <v>2</v>
      </c>
      <c r="C45" t="s">
        <v>22</v>
      </c>
      <c r="D45">
        <v>100</v>
      </c>
      <c r="E45">
        <v>1000</v>
      </c>
      <c r="F45">
        <v>3005</v>
      </c>
      <c r="G45">
        <v>406</v>
      </c>
      <c r="H45">
        <f t="shared" si="0"/>
        <v>40.6</v>
      </c>
      <c r="I45" s="1">
        <f t="shared" si="1"/>
        <v>13.510815307820302</v>
      </c>
    </row>
    <row r="46" spans="1:9" x14ac:dyDescent="0.2">
      <c r="A46" t="s">
        <v>18</v>
      </c>
      <c r="B46">
        <v>3</v>
      </c>
      <c r="C46" t="s">
        <v>22</v>
      </c>
      <c r="D46">
        <v>100</v>
      </c>
      <c r="E46">
        <v>1000</v>
      </c>
      <c r="F46">
        <v>3015</v>
      </c>
      <c r="G46">
        <v>370</v>
      </c>
      <c r="H46">
        <f t="shared" si="0"/>
        <v>37</v>
      </c>
      <c r="I46" s="1">
        <f t="shared" si="1"/>
        <v>12.271973466003317</v>
      </c>
    </row>
    <row r="47" spans="1:9" x14ac:dyDescent="0.2">
      <c r="A47" t="s">
        <v>19</v>
      </c>
      <c r="B47">
        <v>1</v>
      </c>
      <c r="C47" t="s">
        <v>23</v>
      </c>
      <c r="D47">
        <v>100</v>
      </c>
      <c r="E47">
        <v>1000</v>
      </c>
      <c r="F47">
        <v>4095</v>
      </c>
      <c r="G47">
        <v>600</v>
      </c>
      <c r="H47">
        <f t="shared" si="0"/>
        <v>60</v>
      </c>
      <c r="I47" s="1">
        <f t="shared" si="1"/>
        <v>14.652014652014653</v>
      </c>
    </row>
    <row r="48" spans="1:9" x14ac:dyDescent="0.2">
      <c r="A48" t="s">
        <v>19</v>
      </c>
      <c r="B48">
        <v>2</v>
      </c>
      <c r="C48" t="s">
        <v>23</v>
      </c>
      <c r="D48">
        <v>100</v>
      </c>
      <c r="E48">
        <v>1000</v>
      </c>
      <c r="F48">
        <v>4585</v>
      </c>
      <c r="G48">
        <v>656</v>
      </c>
      <c r="H48">
        <f t="shared" si="0"/>
        <v>65.600000000000009</v>
      </c>
      <c r="I48" s="1">
        <f t="shared" si="1"/>
        <v>14.307524536532171</v>
      </c>
    </row>
    <row r="49" spans="1:9" x14ac:dyDescent="0.2">
      <c r="A49" t="s">
        <v>19</v>
      </c>
      <c r="B49">
        <v>3</v>
      </c>
      <c r="C49" t="s">
        <v>23</v>
      </c>
      <c r="D49">
        <v>100</v>
      </c>
      <c r="E49">
        <v>1000</v>
      </c>
      <c r="F49">
        <v>4795</v>
      </c>
      <c r="G49">
        <v>734</v>
      </c>
      <c r="H49">
        <f t="shared" si="0"/>
        <v>73.400000000000006</v>
      </c>
      <c r="I49" s="1">
        <f t="shared" si="1"/>
        <v>15.307612095933266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4A5D-609D-4D45-BDCE-4D25305FAAF2}">
  <dimension ref="A1:C34"/>
  <sheetViews>
    <sheetView tabSelected="1" topLeftCell="A6" workbookViewId="0">
      <selection activeCell="E30" sqref="E30"/>
    </sheetView>
  </sheetViews>
  <sheetFormatPr baseColWidth="10" defaultRowHeight="16" x14ac:dyDescent="0.2"/>
  <cols>
    <col min="2" max="2" width="11" bestFit="1" customWidth="1"/>
    <col min="3" max="3" width="11.6640625" bestFit="1" customWidth="1"/>
  </cols>
  <sheetData>
    <row r="1" spans="1:3" x14ac:dyDescent="0.2">
      <c r="A1" t="s">
        <v>83</v>
      </c>
      <c r="B1" t="s">
        <v>84</v>
      </c>
      <c r="C1" t="s">
        <v>85</v>
      </c>
    </row>
    <row r="2" spans="1:3" x14ac:dyDescent="0.2">
      <c r="A2" t="s">
        <v>86</v>
      </c>
      <c r="B2" s="1">
        <v>18.838992332968239</v>
      </c>
      <c r="C2" s="1">
        <v>86</v>
      </c>
    </row>
    <row r="3" spans="1:3" x14ac:dyDescent="0.2">
      <c r="A3" t="s">
        <v>87</v>
      </c>
      <c r="B3" s="1">
        <v>16.105032822757114</v>
      </c>
      <c r="C3" s="1">
        <v>73.599999999999994</v>
      </c>
    </row>
    <row r="4" spans="1:3" x14ac:dyDescent="0.2">
      <c r="A4" t="s">
        <v>88</v>
      </c>
      <c r="B4" s="1">
        <v>22.168674698795179</v>
      </c>
      <c r="C4" s="1">
        <v>101.2</v>
      </c>
    </row>
    <row r="5" spans="1:3" x14ac:dyDescent="0.2">
      <c r="A5" t="s">
        <v>89</v>
      </c>
      <c r="B5" s="1">
        <v>20.5</v>
      </c>
      <c r="C5" s="1">
        <v>90.2</v>
      </c>
    </row>
    <row r="6" spans="1:3" x14ac:dyDescent="0.2">
      <c r="A6" t="s">
        <v>90</v>
      </c>
      <c r="B6" s="1">
        <v>21.988571428571429</v>
      </c>
      <c r="C6" s="1">
        <v>96.2</v>
      </c>
    </row>
    <row r="7" spans="1:3" x14ac:dyDescent="0.2">
      <c r="A7" t="s">
        <v>91</v>
      </c>
      <c r="B7" s="1">
        <v>17.337883959044369</v>
      </c>
      <c r="C7" s="1">
        <v>76.2</v>
      </c>
    </row>
    <row r="8" spans="1:3" x14ac:dyDescent="0.2">
      <c r="A8" t="s">
        <v>92</v>
      </c>
      <c r="B8" s="1">
        <v>12.497041420118343</v>
      </c>
      <c r="C8" s="1">
        <v>52.800000000000004</v>
      </c>
    </row>
    <row r="9" spans="1:3" x14ac:dyDescent="0.2">
      <c r="A9" t="s">
        <v>93</v>
      </c>
      <c r="B9" s="1">
        <v>14.67455621301775</v>
      </c>
      <c r="C9" s="1">
        <v>62</v>
      </c>
    </row>
    <row r="10" spans="1:3" x14ac:dyDescent="0.2">
      <c r="A10" t="s">
        <v>94</v>
      </c>
      <c r="B10" s="1">
        <v>15.555555555555555</v>
      </c>
      <c r="C10" s="1">
        <v>65.8</v>
      </c>
    </row>
    <row r="11" spans="1:3" x14ac:dyDescent="0.2">
      <c r="A11" t="s">
        <v>95</v>
      </c>
      <c r="B11" s="1">
        <v>16.37952559300874</v>
      </c>
      <c r="C11" s="1">
        <v>65.600000000000009</v>
      </c>
    </row>
    <row r="12" spans="1:3" x14ac:dyDescent="0.2">
      <c r="A12" t="s">
        <v>96</v>
      </c>
      <c r="B12" s="1">
        <v>10.744010088272384</v>
      </c>
      <c r="C12" s="1">
        <v>42.6</v>
      </c>
    </row>
    <row r="13" spans="1:3" x14ac:dyDescent="0.2">
      <c r="A13" t="s">
        <v>97</v>
      </c>
      <c r="B13" s="1">
        <v>11.243781094527364</v>
      </c>
      <c r="C13" s="1">
        <v>45.2</v>
      </c>
    </row>
    <row r="14" spans="1:3" x14ac:dyDescent="0.2">
      <c r="A14" t="s">
        <v>98</v>
      </c>
      <c r="B14" s="1">
        <v>5.6198347107438016</v>
      </c>
      <c r="C14" s="1">
        <v>17</v>
      </c>
    </row>
    <row r="15" spans="1:3" x14ac:dyDescent="0.2">
      <c r="A15" t="s">
        <v>99</v>
      </c>
      <c r="B15" s="1">
        <v>11.475953565505804</v>
      </c>
      <c r="C15" s="1">
        <v>34.599999999999994</v>
      </c>
    </row>
    <row r="16" spans="1:3" x14ac:dyDescent="0.2">
      <c r="A16" t="s">
        <v>100</v>
      </c>
      <c r="B16" s="1">
        <v>8.0794701986754962</v>
      </c>
      <c r="C16" s="1">
        <v>24.4</v>
      </c>
    </row>
    <row r="17" spans="1:3" x14ac:dyDescent="0.2">
      <c r="A17" t="s">
        <v>101</v>
      </c>
      <c r="B17" s="1">
        <v>10.483689538807649</v>
      </c>
      <c r="C17" s="1">
        <v>46.6</v>
      </c>
    </row>
    <row r="18" spans="1:3" x14ac:dyDescent="0.2">
      <c r="A18" t="s">
        <v>102</v>
      </c>
      <c r="B18" s="1">
        <v>10.068337129840547</v>
      </c>
      <c r="C18" s="1">
        <v>44.2</v>
      </c>
    </row>
    <row r="19" spans="1:3" x14ac:dyDescent="0.2">
      <c r="A19" t="s">
        <v>103</v>
      </c>
      <c r="B19" s="1">
        <v>12.418447694038246</v>
      </c>
      <c r="C19" s="1">
        <v>55.2</v>
      </c>
    </row>
    <row r="20" spans="1:3" x14ac:dyDescent="0.2">
      <c r="A20" t="s">
        <v>104</v>
      </c>
      <c r="B20" s="1">
        <v>11.201982651796778</v>
      </c>
      <c r="C20" s="1">
        <v>45.2</v>
      </c>
    </row>
    <row r="21" spans="1:3" x14ac:dyDescent="0.2">
      <c r="A21" t="s">
        <v>105</v>
      </c>
      <c r="B21" s="1">
        <v>11.60342717258262</v>
      </c>
      <c r="C21" s="1">
        <v>47.4</v>
      </c>
    </row>
    <row r="22" spans="1:3" x14ac:dyDescent="0.2">
      <c r="A22" t="s">
        <v>106</v>
      </c>
      <c r="B22" s="1">
        <v>19.755501222493887</v>
      </c>
      <c r="C22" s="1">
        <v>80.800000000000011</v>
      </c>
    </row>
    <row r="23" spans="1:3" x14ac:dyDescent="0.2">
      <c r="A23" t="s">
        <v>107</v>
      </c>
      <c r="B23" s="1">
        <v>34.101876675603215</v>
      </c>
      <c r="C23" s="1">
        <v>127.2</v>
      </c>
    </row>
    <row r="24" spans="1:3" x14ac:dyDescent="0.2">
      <c r="A24" t="s">
        <v>108</v>
      </c>
      <c r="B24" s="1">
        <v>24.417670682730925</v>
      </c>
      <c r="C24" s="1">
        <v>91.2</v>
      </c>
    </row>
    <row r="25" spans="1:3" x14ac:dyDescent="0.2">
      <c r="A25" t="s">
        <v>109</v>
      </c>
      <c r="B25" s="1">
        <v>23.163538873994639</v>
      </c>
      <c r="C25" s="1">
        <v>86.4</v>
      </c>
    </row>
    <row r="26" spans="1:3" x14ac:dyDescent="0.2">
      <c r="A26" t="s">
        <v>110</v>
      </c>
      <c r="B26" s="1">
        <v>51.008902077151333</v>
      </c>
      <c r="C26" s="1">
        <v>171.9</v>
      </c>
    </row>
    <row r="27" spans="1:3" x14ac:dyDescent="0.2">
      <c r="A27" t="s">
        <v>111</v>
      </c>
      <c r="B27" s="1">
        <v>30.563798219584569</v>
      </c>
      <c r="C27" s="1">
        <v>103</v>
      </c>
    </row>
    <row r="28" spans="1:3" x14ac:dyDescent="0.2">
      <c r="A28" t="s">
        <v>112</v>
      </c>
      <c r="B28" s="1">
        <v>35.007429420505197</v>
      </c>
      <c r="C28" s="1">
        <v>117.8</v>
      </c>
    </row>
    <row r="29" spans="1:3" x14ac:dyDescent="0.2">
      <c r="A29" t="s">
        <v>113</v>
      </c>
      <c r="B29" s="1">
        <v>25.671641791044774</v>
      </c>
      <c r="C29" s="1">
        <v>77.400000000000006</v>
      </c>
    </row>
    <row r="30" spans="1:3" x14ac:dyDescent="0.2">
      <c r="A30" t="s">
        <v>114</v>
      </c>
      <c r="B30" s="1">
        <v>13.510815307820302</v>
      </c>
      <c r="C30" s="1">
        <v>40.6</v>
      </c>
    </row>
    <row r="31" spans="1:3" x14ac:dyDescent="0.2">
      <c r="A31" t="s">
        <v>115</v>
      </c>
      <c r="B31" s="1">
        <v>12.271973466003317</v>
      </c>
      <c r="C31" s="1">
        <v>37</v>
      </c>
    </row>
    <row r="32" spans="1:3" x14ac:dyDescent="0.2">
      <c r="A32" t="s">
        <v>116</v>
      </c>
      <c r="B32" s="1">
        <v>14.652014652014653</v>
      </c>
      <c r="C32" s="1">
        <v>60</v>
      </c>
    </row>
    <row r="33" spans="1:3" x14ac:dyDescent="0.2">
      <c r="A33" t="s">
        <v>117</v>
      </c>
      <c r="B33" s="1">
        <v>14.307524536532171</v>
      </c>
      <c r="C33" s="1">
        <v>65.600000000000009</v>
      </c>
    </row>
    <row r="34" spans="1:3" x14ac:dyDescent="0.2">
      <c r="A34" t="s">
        <v>118</v>
      </c>
      <c r="B34" s="1">
        <v>15.307612095933266</v>
      </c>
      <c r="C34" s="1">
        <v>73.400000000000006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5BC20-A294-9D4F-B49D-7E693CC6C0BC}">
  <dimension ref="A1:C145"/>
  <sheetViews>
    <sheetView topLeftCell="A35" workbookViewId="0">
      <selection activeCell="D61" sqref="D61"/>
    </sheetView>
  </sheetViews>
  <sheetFormatPr baseColWidth="10" defaultRowHeight="16" x14ac:dyDescent="0.2"/>
  <sheetData>
    <row r="1" spans="1:3" x14ac:dyDescent="0.2">
      <c r="A1" t="s">
        <v>33</v>
      </c>
      <c r="B1" t="s">
        <v>32</v>
      </c>
      <c r="C1" t="s">
        <v>82</v>
      </c>
    </row>
    <row r="2" spans="1:3" x14ac:dyDescent="0.2">
      <c r="A2" t="s">
        <v>34</v>
      </c>
      <c r="B2">
        <v>6.72</v>
      </c>
    </row>
    <row r="3" spans="1:3" x14ac:dyDescent="0.2">
      <c r="B3">
        <v>6.8519999999999994</v>
      </c>
    </row>
    <row r="4" spans="1:3" x14ac:dyDescent="0.2">
      <c r="B4">
        <v>6.9120000000000008</v>
      </c>
    </row>
    <row r="5" spans="1:3" x14ac:dyDescent="0.2">
      <c r="A5" t="s">
        <v>35</v>
      </c>
      <c r="B5">
        <v>7.3159999999999989</v>
      </c>
    </row>
    <row r="6" spans="1:3" x14ac:dyDescent="0.2">
      <c r="B6">
        <v>7.5640000000000001</v>
      </c>
    </row>
    <row r="7" spans="1:3" x14ac:dyDescent="0.2">
      <c r="B7">
        <v>7.7</v>
      </c>
    </row>
    <row r="8" spans="1:3" x14ac:dyDescent="0.2">
      <c r="A8" t="s">
        <v>36</v>
      </c>
      <c r="B8">
        <v>7.1440000000000001</v>
      </c>
    </row>
    <row r="9" spans="1:3" x14ac:dyDescent="0.2">
      <c r="B9">
        <v>7.2319999999999993</v>
      </c>
    </row>
    <row r="10" spans="1:3" x14ac:dyDescent="0.2">
      <c r="B10">
        <v>7.3879999999999999</v>
      </c>
    </row>
    <row r="11" spans="1:3" x14ac:dyDescent="0.2">
      <c r="A11" t="s">
        <v>37</v>
      </c>
      <c r="B11">
        <v>6.5120000000000005</v>
      </c>
    </row>
    <row r="12" spans="1:3" x14ac:dyDescent="0.2">
      <c r="B12">
        <v>6.612000000000001</v>
      </c>
    </row>
    <row r="13" spans="1:3" x14ac:dyDescent="0.2">
      <c r="B13">
        <v>6.6079999999999997</v>
      </c>
    </row>
    <row r="14" spans="1:3" x14ac:dyDescent="0.2">
      <c r="A14" t="s">
        <v>38</v>
      </c>
      <c r="B14">
        <v>6.0960000000000001</v>
      </c>
    </row>
    <row r="15" spans="1:3" x14ac:dyDescent="0.2">
      <c r="B15">
        <v>6.2919999999999998</v>
      </c>
    </row>
    <row r="16" spans="1:3" x14ac:dyDescent="0.2">
      <c r="B16">
        <v>6.2319999999999993</v>
      </c>
    </row>
    <row r="17" spans="1:2" x14ac:dyDescent="0.2">
      <c r="A17" t="s">
        <v>39</v>
      </c>
      <c r="B17">
        <v>6.4160000000000013</v>
      </c>
    </row>
    <row r="18" spans="1:2" x14ac:dyDescent="0.2">
      <c r="B18">
        <v>6.4920000000000009</v>
      </c>
    </row>
    <row r="19" spans="1:2" x14ac:dyDescent="0.2">
      <c r="B19">
        <v>6.4880000000000004</v>
      </c>
    </row>
    <row r="20" spans="1:2" x14ac:dyDescent="0.2">
      <c r="A20" t="s">
        <v>40</v>
      </c>
      <c r="B20">
        <v>10.039999999999999</v>
      </c>
    </row>
    <row r="21" spans="1:2" x14ac:dyDescent="0.2">
      <c r="B21">
        <v>10.295999999999999</v>
      </c>
    </row>
    <row r="22" spans="1:2" x14ac:dyDescent="0.2">
      <c r="B22">
        <v>10.272</v>
      </c>
    </row>
    <row r="23" spans="1:2" x14ac:dyDescent="0.2">
      <c r="A23" t="s">
        <v>41</v>
      </c>
      <c r="B23">
        <v>7.3119999999999994</v>
      </c>
    </row>
    <row r="24" spans="1:2" x14ac:dyDescent="0.2">
      <c r="B24">
        <v>7.291999999999998</v>
      </c>
    </row>
    <row r="25" spans="1:2" x14ac:dyDescent="0.2">
      <c r="B25">
        <v>7.36</v>
      </c>
    </row>
    <row r="26" spans="1:2" x14ac:dyDescent="0.2">
      <c r="A26" t="s">
        <v>42</v>
      </c>
      <c r="B26">
        <v>6.9120000000000008</v>
      </c>
    </row>
    <row r="27" spans="1:2" x14ac:dyDescent="0.2">
      <c r="B27">
        <v>7.008</v>
      </c>
    </row>
    <row r="28" spans="1:2" x14ac:dyDescent="0.2">
      <c r="B28">
        <v>7.1199999999999992</v>
      </c>
    </row>
    <row r="29" spans="1:2" x14ac:dyDescent="0.2">
      <c r="A29" t="s">
        <v>43</v>
      </c>
      <c r="B29">
        <v>9.9240000000000013</v>
      </c>
    </row>
    <row r="30" spans="1:2" x14ac:dyDescent="0.2">
      <c r="B30">
        <v>9.8040000000000003</v>
      </c>
    </row>
    <row r="31" spans="1:2" x14ac:dyDescent="0.2">
      <c r="B31">
        <v>9.9839999999999982</v>
      </c>
    </row>
    <row r="32" spans="1:2" x14ac:dyDescent="0.2">
      <c r="A32" t="s">
        <v>44</v>
      </c>
      <c r="B32">
        <v>7.66</v>
      </c>
    </row>
    <row r="33" spans="1:2" x14ac:dyDescent="0.2">
      <c r="B33">
        <v>7.4879999999999995</v>
      </c>
    </row>
    <row r="34" spans="1:2" x14ac:dyDescent="0.2">
      <c r="B34">
        <v>7.62</v>
      </c>
    </row>
    <row r="35" spans="1:2" x14ac:dyDescent="0.2">
      <c r="A35" t="s">
        <v>45</v>
      </c>
      <c r="B35">
        <v>6.68</v>
      </c>
    </row>
    <row r="36" spans="1:2" x14ac:dyDescent="0.2">
      <c r="B36">
        <v>6.5840000000000014</v>
      </c>
    </row>
    <row r="37" spans="1:2" x14ac:dyDescent="0.2">
      <c r="B37">
        <v>6.8159999999999989</v>
      </c>
    </row>
    <row r="38" spans="1:2" x14ac:dyDescent="0.2">
      <c r="A38" t="s">
        <v>46</v>
      </c>
      <c r="B38">
        <v>5.5679999999999996</v>
      </c>
    </row>
    <row r="39" spans="1:2" x14ac:dyDescent="0.2">
      <c r="B39">
        <v>5.62</v>
      </c>
    </row>
    <row r="40" spans="1:2" x14ac:dyDescent="0.2">
      <c r="B40">
        <v>5.5679999999999996</v>
      </c>
    </row>
    <row r="41" spans="1:2" x14ac:dyDescent="0.2">
      <c r="A41" t="s">
        <v>47</v>
      </c>
      <c r="B41">
        <v>7.1360000000000001</v>
      </c>
    </row>
    <row r="42" spans="1:2" x14ac:dyDescent="0.2">
      <c r="B42">
        <v>7.4639999999999995</v>
      </c>
    </row>
    <row r="43" spans="1:2" x14ac:dyDescent="0.2">
      <c r="B43">
        <v>7.2560000000000002</v>
      </c>
    </row>
    <row r="44" spans="1:2" x14ac:dyDescent="0.2">
      <c r="A44" t="s">
        <v>48</v>
      </c>
      <c r="B44">
        <v>6.508</v>
      </c>
    </row>
    <row r="45" spans="1:2" x14ac:dyDescent="0.2">
      <c r="B45">
        <v>6.7279999999999989</v>
      </c>
    </row>
    <row r="46" spans="1:2" x14ac:dyDescent="0.2">
      <c r="B46">
        <v>6.5600000000000005</v>
      </c>
    </row>
    <row r="47" spans="1:2" x14ac:dyDescent="0.2">
      <c r="A47" t="s">
        <v>49</v>
      </c>
      <c r="B47">
        <v>6.1639999999999997</v>
      </c>
    </row>
    <row r="48" spans="1:2" x14ac:dyDescent="0.2">
      <c r="B48">
        <v>6.2119999999999997</v>
      </c>
    </row>
    <row r="49" spans="1:2" x14ac:dyDescent="0.2">
      <c r="B49">
        <v>6.2559999999999993</v>
      </c>
    </row>
    <row r="50" spans="1:2" x14ac:dyDescent="0.2">
      <c r="A50" t="s">
        <v>50</v>
      </c>
      <c r="B50">
        <v>8.1999999999999993</v>
      </c>
    </row>
    <row r="51" spans="1:2" x14ac:dyDescent="0.2">
      <c r="B51">
        <v>8.2279999999999998</v>
      </c>
    </row>
    <row r="52" spans="1:2" x14ac:dyDescent="0.2">
      <c r="B52">
        <v>8.3040000000000003</v>
      </c>
    </row>
    <row r="53" spans="1:2" x14ac:dyDescent="0.2">
      <c r="A53" t="s">
        <v>51</v>
      </c>
      <c r="B53">
        <v>7.072000000000001</v>
      </c>
    </row>
    <row r="54" spans="1:2" x14ac:dyDescent="0.2">
      <c r="B54">
        <v>7.1480000000000006</v>
      </c>
    </row>
    <row r="55" spans="1:2" x14ac:dyDescent="0.2">
      <c r="B55">
        <v>7.1440000000000001</v>
      </c>
    </row>
    <row r="56" spans="1:2" x14ac:dyDescent="0.2">
      <c r="A56" t="s">
        <v>52</v>
      </c>
      <c r="B56">
        <v>7.1360000000000001</v>
      </c>
    </row>
    <row r="57" spans="1:2" x14ac:dyDescent="0.2">
      <c r="B57">
        <v>7.28</v>
      </c>
    </row>
    <row r="58" spans="1:2" x14ac:dyDescent="0.2">
      <c r="B58">
        <v>7.2879999999999994</v>
      </c>
    </row>
    <row r="59" spans="1:2" x14ac:dyDescent="0.2">
      <c r="A59" t="s">
        <v>53</v>
      </c>
      <c r="B59">
        <v>6.2880000000000011</v>
      </c>
    </row>
    <row r="60" spans="1:2" x14ac:dyDescent="0.2">
      <c r="B60">
        <v>3.1440000000000006</v>
      </c>
    </row>
    <row r="61" spans="1:2" x14ac:dyDescent="0.2">
      <c r="B61">
        <v>3.2119999999999997</v>
      </c>
    </row>
    <row r="62" spans="1:2" x14ac:dyDescent="0.2">
      <c r="A62" t="s">
        <v>54</v>
      </c>
      <c r="B62">
        <v>6.2640000000000002</v>
      </c>
    </row>
    <row r="63" spans="1:2" x14ac:dyDescent="0.2">
      <c r="B63">
        <v>7.5279999999999996</v>
      </c>
    </row>
    <row r="64" spans="1:2" x14ac:dyDescent="0.2">
      <c r="B64">
        <v>6.4120000000000008</v>
      </c>
    </row>
    <row r="65" spans="1:2" x14ac:dyDescent="0.2">
      <c r="A65" t="s">
        <v>55</v>
      </c>
      <c r="B65">
        <v>7.4680000000000009</v>
      </c>
    </row>
    <row r="66" spans="1:2" x14ac:dyDescent="0.2">
      <c r="B66">
        <v>7.8</v>
      </c>
    </row>
    <row r="67" spans="1:2" x14ac:dyDescent="0.2">
      <c r="B67">
        <v>7.4519999999999991</v>
      </c>
    </row>
    <row r="68" spans="1:2" x14ac:dyDescent="0.2">
      <c r="A68" t="s">
        <v>56</v>
      </c>
      <c r="B68">
        <v>8.2279999999999998</v>
      </c>
    </row>
    <row r="69" spans="1:2" x14ac:dyDescent="0.2">
      <c r="B69">
        <v>8.4879999999999995</v>
      </c>
    </row>
    <row r="70" spans="1:2" x14ac:dyDescent="0.2">
      <c r="B70">
        <v>8.3239999999999998</v>
      </c>
    </row>
    <row r="71" spans="1:2" x14ac:dyDescent="0.2">
      <c r="A71" t="s">
        <v>57</v>
      </c>
      <c r="B71">
        <v>6.2359999999999989</v>
      </c>
    </row>
    <row r="72" spans="1:2" x14ac:dyDescent="0.2">
      <c r="B72">
        <v>6.3160000000000007</v>
      </c>
    </row>
    <row r="73" spans="1:2" x14ac:dyDescent="0.2">
      <c r="B73">
        <v>6.4359999999999999</v>
      </c>
    </row>
    <row r="74" spans="1:2" x14ac:dyDescent="0.2">
      <c r="A74" t="s">
        <v>58</v>
      </c>
      <c r="B74">
        <v>8.1639999999999997</v>
      </c>
    </row>
    <row r="75" spans="1:2" x14ac:dyDescent="0.2">
      <c r="B75">
        <v>8.48</v>
      </c>
    </row>
    <row r="76" spans="1:2" x14ac:dyDescent="0.2">
      <c r="B76">
        <v>8.56</v>
      </c>
    </row>
    <row r="77" spans="1:2" x14ac:dyDescent="0.2">
      <c r="A77" t="s">
        <v>59</v>
      </c>
      <c r="B77">
        <v>11.08</v>
      </c>
    </row>
    <row r="78" spans="1:2" x14ac:dyDescent="0.2">
      <c r="B78">
        <v>11.684000000000001</v>
      </c>
    </row>
    <row r="79" spans="1:2" x14ac:dyDescent="0.2">
      <c r="B79">
        <v>11.608000000000001</v>
      </c>
    </row>
    <row r="80" spans="1:2" x14ac:dyDescent="0.2">
      <c r="A80" t="s">
        <v>60</v>
      </c>
      <c r="B80">
        <v>7.4960000000000013</v>
      </c>
    </row>
    <row r="81" spans="1:2" x14ac:dyDescent="0.2">
      <c r="B81">
        <v>7.6280000000000001</v>
      </c>
    </row>
    <row r="82" spans="1:2" x14ac:dyDescent="0.2">
      <c r="B82">
        <v>7.6879999999999997</v>
      </c>
    </row>
    <row r="83" spans="1:2" x14ac:dyDescent="0.2">
      <c r="A83" t="s">
        <v>61</v>
      </c>
      <c r="B83">
        <v>5.8040000000000003</v>
      </c>
    </row>
    <row r="84" spans="1:2" x14ac:dyDescent="0.2">
      <c r="B84">
        <v>6.0600000000000005</v>
      </c>
    </row>
    <row r="85" spans="1:2" x14ac:dyDescent="0.2">
      <c r="B85">
        <v>6.3079999999999998</v>
      </c>
    </row>
    <row r="86" spans="1:2" x14ac:dyDescent="0.2">
      <c r="A86" t="s">
        <v>62</v>
      </c>
      <c r="B86">
        <v>7.6759999999999993</v>
      </c>
    </row>
    <row r="87" spans="1:2" x14ac:dyDescent="0.2">
      <c r="B87">
        <v>8.0239999999999991</v>
      </c>
    </row>
    <row r="88" spans="1:2" x14ac:dyDescent="0.2">
      <c r="B88">
        <v>7.7</v>
      </c>
    </row>
    <row r="89" spans="1:2" x14ac:dyDescent="0.2">
      <c r="A89" t="s">
        <v>63</v>
      </c>
      <c r="B89">
        <v>6.8279999999999994</v>
      </c>
    </row>
    <row r="90" spans="1:2" x14ac:dyDescent="0.2">
      <c r="B90">
        <v>6.8440000000000003</v>
      </c>
    </row>
    <row r="91" spans="1:2" x14ac:dyDescent="0.2">
      <c r="B91">
        <v>6.6280000000000001</v>
      </c>
    </row>
    <row r="92" spans="1:2" x14ac:dyDescent="0.2">
      <c r="A92" t="s">
        <v>64</v>
      </c>
      <c r="B92">
        <v>6.9040000000000008</v>
      </c>
    </row>
    <row r="93" spans="1:2" x14ac:dyDescent="0.2">
      <c r="B93">
        <v>7.1480000000000006</v>
      </c>
    </row>
    <row r="94" spans="1:2" x14ac:dyDescent="0.2">
      <c r="B94">
        <v>7.1919999999999984</v>
      </c>
    </row>
    <row r="95" spans="1:2" x14ac:dyDescent="0.2">
      <c r="A95" t="s">
        <v>65</v>
      </c>
      <c r="B95">
        <v>7.4680000000000009</v>
      </c>
    </row>
    <row r="96" spans="1:2" x14ac:dyDescent="0.2">
      <c r="B96">
        <v>7.58</v>
      </c>
    </row>
    <row r="97" spans="1:2" x14ac:dyDescent="0.2">
      <c r="B97">
        <v>7.2720000000000002</v>
      </c>
    </row>
    <row r="98" spans="1:2" x14ac:dyDescent="0.2">
      <c r="A98" t="s">
        <v>66</v>
      </c>
      <c r="B98">
        <v>6.7920000000000007</v>
      </c>
    </row>
    <row r="99" spans="1:2" x14ac:dyDescent="0.2">
      <c r="B99">
        <v>6.8560000000000008</v>
      </c>
    </row>
    <row r="100" spans="1:2" x14ac:dyDescent="0.2">
      <c r="B100">
        <v>6.9159999999999995</v>
      </c>
    </row>
    <row r="101" spans="1:2" x14ac:dyDescent="0.2">
      <c r="A101" t="s">
        <v>67</v>
      </c>
      <c r="B101">
        <v>6.1720000000000006</v>
      </c>
    </row>
    <row r="102" spans="1:2" x14ac:dyDescent="0.2">
      <c r="B102">
        <v>6.2880000000000011</v>
      </c>
    </row>
    <row r="103" spans="1:2" x14ac:dyDescent="0.2">
      <c r="B103">
        <v>6.5200000000000005</v>
      </c>
    </row>
    <row r="104" spans="1:2" x14ac:dyDescent="0.2">
      <c r="A104" t="s">
        <v>68</v>
      </c>
      <c r="B104">
        <v>6.5840000000000014</v>
      </c>
    </row>
    <row r="105" spans="1:2" x14ac:dyDescent="0.2">
      <c r="B105">
        <v>6.7439999999999998</v>
      </c>
    </row>
    <row r="106" spans="1:2" x14ac:dyDescent="0.2">
      <c r="B106">
        <v>6.8039999999999985</v>
      </c>
    </row>
    <row r="107" spans="1:2" x14ac:dyDescent="0.2">
      <c r="A107" t="s">
        <v>69</v>
      </c>
      <c r="B107">
        <v>9.34</v>
      </c>
    </row>
    <row r="108" spans="1:2" x14ac:dyDescent="0.2">
      <c r="B108">
        <v>9.516</v>
      </c>
    </row>
    <row r="109" spans="1:2" x14ac:dyDescent="0.2">
      <c r="B109">
        <v>9.6080000000000005</v>
      </c>
    </row>
    <row r="110" spans="1:2" x14ac:dyDescent="0.2">
      <c r="A110" t="s">
        <v>70</v>
      </c>
      <c r="B110">
        <v>12.292000000000002</v>
      </c>
    </row>
    <row r="111" spans="1:2" x14ac:dyDescent="0.2">
      <c r="B111">
        <v>12.827999999999999</v>
      </c>
    </row>
    <row r="112" spans="1:2" x14ac:dyDescent="0.2">
      <c r="B112">
        <v>12.247999999999999</v>
      </c>
    </row>
    <row r="113" spans="1:2" x14ac:dyDescent="0.2">
      <c r="A113" t="s">
        <v>71</v>
      </c>
      <c r="B113">
        <v>12.82</v>
      </c>
    </row>
    <row r="114" spans="1:2" x14ac:dyDescent="0.2">
      <c r="B114">
        <v>12.688000000000002</v>
      </c>
    </row>
    <row r="115" spans="1:2" x14ac:dyDescent="0.2">
      <c r="B115">
        <v>12.839999999999998</v>
      </c>
    </row>
    <row r="116" spans="1:2" x14ac:dyDescent="0.2">
      <c r="A116" t="s">
        <v>72</v>
      </c>
      <c r="B116">
        <v>6.54</v>
      </c>
    </row>
    <row r="117" spans="1:2" x14ac:dyDescent="0.2">
      <c r="B117">
        <v>6.5439999999999996</v>
      </c>
    </row>
    <row r="118" spans="1:2" x14ac:dyDescent="0.2">
      <c r="B118">
        <v>6.68</v>
      </c>
    </row>
    <row r="119" spans="1:2" x14ac:dyDescent="0.2">
      <c r="A119" t="s">
        <v>73</v>
      </c>
      <c r="B119">
        <v>8.9640000000000004</v>
      </c>
    </row>
    <row r="120" spans="1:2" x14ac:dyDescent="0.2">
      <c r="B120">
        <v>9.3159999999999989</v>
      </c>
    </row>
    <row r="121" spans="1:2" x14ac:dyDescent="0.2">
      <c r="B121">
        <v>9.4879999999999995</v>
      </c>
    </row>
    <row r="122" spans="1:2" x14ac:dyDescent="0.2">
      <c r="A122" t="s">
        <v>74</v>
      </c>
      <c r="B122">
        <v>6.9159999999999995</v>
      </c>
    </row>
    <row r="123" spans="1:2" x14ac:dyDescent="0.2">
      <c r="B123">
        <v>7.0279999999999996</v>
      </c>
    </row>
    <row r="124" spans="1:2" x14ac:dyDescent="0.2">
      <c r="B124">
        <v>7.08</v>
      </c>
    </row>
    <row r="125" spans="1:2" x14ac:dyDescent="0.2">
      <c r="A125" t="s">
        <v>75</v>
      </c>
      <c r="B125">
        <v>13.088000000000003</v>
      </c>
    </row>
    <row r="126" spans="1:2" x14ac:dyDescent="0.2">
      <c r="B126">
        <v>13.496000000000002</v>
      </c>
    </row>
    <row r="127" spans="1:2" x14ac:dyDescent="0.2">
      <c r="B127">
        <v>13.312000000000001</v>
      </c>
    </row>
    <row r="128" spans="1:2" x14ac:dyDescent="0.2">
      <c r="A128" t="s">
        <v>76</v>
      </c>
      <c r="B128">
        <v>5.3679999999999994</v>
      </c>
    </row>
    <row r="129" spans="1:2" x14ac:dyDescent="0.2">
      <c r="B129">
        <v>5.3839999999999995</v>
      </c>
    </row>
    <row r="130" spans="1:2" x14ac:dyDescent="0.2">
      <c r="B130">
        <v>5.548</v>
      </c>
    </row>
    <row r="131" spans="1:2" x14ac:dyDescent="0.2">
      <c r="A131" t="s">
        <v>77</v>
      </c>
      <c r="B131">
        <v>7.6560000000000006</v>
      </c>
    </row>
    <row r="132" spans="1:2" x14ac:dyDescent="0.2">
      <c r="B132">
        <v>7.88</v>
      </c>
    </row>
    <row r="133" spans="1:2" x14ac:dyDescent="0.2">
      <c r="B133">
        <v>7.8880000000000008</v>
      </c>
    </row>
    <row r="134" spans="1:2" x14ac:dyDescent="0.2">
      <c r="A134" t="s">
        <v>78</v>
      </c>
      <c r="B134">
        <v>5.6159999999999988</v>
      </c>
    </row>
    <row r="135" spans="1:2" x14ac:dyDescent="0.2">
      <c r="B135">
        <v>5.66</v>
      </c>
    </row>
    <row r="136" spans="1:2" x14ac:dyDescent="0.2">
      <c r="B136">
        <v>5.6279999999999992</v>
      </c>
    </row>
    <row r="137" spans="1:2" x14ac:dyDescent="0.2">
      <c r="A137" t="s">
        <v>79</v>
      </c>
      <c r="B137">
        <v>6.1759999999999993</v>
      </c>
    </row>
    <row r="138" spans="1:2" x14ac:dyDescent="0.2">
      <c r="B138">
        <v>6.4519999999999991</v>
      </c>
    </row>
    <row r="139" spans="1:2" x14ac:dyDescent="0.2">
      <c r="B139">
        <v>6.4959999999999996</v>
      </c>
    </row>
    <row r="140" spans="1:2" x14ac:dyDescent="0.2">
      <c r="A140" t="s">
        <v>80</v>
      </c>
      <c r="B140">
        <v>8.0400000000000009</v>
      </c>
    </row>
    <row r="141" spans="1:2" x14ac:dyDescent="0.2">
      <c r="B141">
        <v>8.2519999999999989</v>
      </c>
    </row>
    <row r="142" spans="1:2" x14ac:dyDescent="0.2">
      <c r="B142">
        <v>8</v>
      </c>
    </row>
    <row r="143" spans="1:2" x14ac:dyDescent="0.2">
      <c r="A143" t="s">
        <v>81</v>
      </c>
      <c r="B143">
        <v>7.2879999999999994</v>
      </c>
    </row>
    <row r="144" spans="1:2" x14ac:dyDescent="0.2">
      <c r="B144">
        <v>7.4879999999999995</v>
      </c>
    </row>
    <row r="145" spans="2:2" x14ac:dyDescent="0.2">
      <c r="B145">
        <v>7.5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B31EE-54D0-6346-B5B2-FDDC649D3F4A}">
  <dimension ref="A1:I19"/>
  <sheetViews>
    <sheetView workbookViewId="0">
      <selection sqref="A1:I19"/>
    </sheetView>
  </sheetViews>
  <sheetFormatPr baseColWidth="10" defaultRowHeight="16" x14ac:dyDescent="0.2"/>
  <sheetData>
    <row r="1" spans="1:9" x14ac:dyDescent="0.2">
      <c r="A1" t="s">
        <v>30</v>
      </c>
      <c r="B1" t="s">
        <v>3</v>
      </c>
      <c r="C1" t="s">
        <v>1</v>
      </c>
      <c r="D1" t="s">
        <v>31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</row>
    <row r="2" spans="1:9" x14ac:dyDescent="0.2">
      <c r="A2" t="s">
        <v>4</v>
      </c>
      <c r="B2">
        <v>1</v>
      </c>
      <c r="C2" t="s">
        <v>20</v>
      </c>
      <c r="D2">
        <v>20</v>
      </c>
      <c r="E2">
        <v>1000</v>
      </c>
      <c r="F2">
        <v>4565</v>
      </c>
      <c r="G2">
        <v>860</v>
      </c>
      <c r="H2">
        <f>G2/E2*100</f>
        <v>86</v>
      </c>
      <c r="I2" s="1">
        <f>G2/F2*100</f>
        <v>18.838992332968239</v>
      </c>
    </row>
    <row r="3" spans="1:9" x14ac:dyDescent="0.2">
      <c r="A3" t="s">
        <v>4</v>
      </c>
      <c r="B3">
        <v>2</v>
      </c>
      <c r="C3" t="s">
        <v>20</v>
      </c>
      <c r="D3">
        <v>20</v>
      </c>
      <c r="E3">
        <v>1000</v>
      </c>
      <c r="F3">
        <v>4570</v>
      </c>
      <c r="G3">
        <v>736</v>
      </c>
      <c r="H3">
        <f t="shared" ref="H3:H19" si="0">G3/E3*100</f>
        <v>73.599999999999994</v>
      </c>
      <c r="I3" s="1">
        <f t="shared" ref="I3:I19" si="1">G3/F3*100</f>
        <v>16.105032822757114</v>
      </c>
    </row>
    <row r="4" spans="1:9" x14ac:dyDescent="0.2">
      <c r="A4" t="s">
        <v>4</v>
      </c>
      <c r="B4">
        <v>3</v>
      </c>
      <c r="C4" t="s">
        <v>20</v>
      </c>
      <c r="D4">
        <v>20</v>
      </c>
      <c r="E4">
        <v>1000</v>
      </c>
      <c r="F4">
        <v>4565</v>
      </c>
      <c r="G4">
        <v>1012</v>
      </c>
      <c r="H4">
        <f t="shared" si="0"/>
        <v>101.2</v>
      </c>
      <c r="I4" s="1">
        <f t="shared" si="1"/>
        <v>22.168674698795179</v>
      </c>
    </row>
    <row r="5" spans="1:9" x14ac:dyDescent="0.2">
      <c r="A5" t="s">
        <v>5</v>
      </c>
      <c r="B5">
        <v>1</v>
      </c>
      <c r="C5" t="s">
        <v>20</v>
      </c>
      <c r="D5">
        <v>40</v>
      </c>
      <c r="E5">
        <v>1000</v>
      </c>
      <c r="F5">
        <v>4400</v>
      </c>
      <c r="G5">
        <v>902</v>
      </c>
      <c r="H5">
        <f t="shared" si="0"/>
        <v>90.2</v>
      </c>
      <c r="I5" s="1">
        <f t="shared" si="1"/>
        <v>20.5</v>
      </c>
    </row>
    <row r="6" spans="1:9" x14ac:dyDescent="0.2">
      <c r="A6" t="s">
        <v>5</v>
      </c>
      <c r="B6">
        <v>2</v>
      </c>
      <c r="C6" t="s">
        <v>20</v>
      </c>
      <c r="D6">
        <v>40</v>
      </c>
      <c r="E6">
        <v>1000</v>
      </c>
      <c r="F6">
        <v>4375</v>
      </c>
      <c r="G6">
        <v>962</v>
      </c>
      <c r="H6">
        <f t="shared" si="0"/>
        <v>96.2</v>
      </c>
      <c r="I6" s="1">
        <f t="shared" si="1"/>
        <v>21.988571428571429</v>
      </c>
    </row>
    <row r="7" spans="1:9" x14ac:dyDescent="0.2">
      <c r="A7" t="s">
        <v>5</v>
      </c>
      <c r="B7">
        <v>3</v>
      </c>
      <c r="C7" t="s">
        <v>20</v>
      </c>
      <c r="D7">
        <v>40</v>
      </c>
      <c r="E7">
        <v>1000</v>
      </c>
      <c r="F7">
        <v>4395</v>
      </c>
      <c r="G7">
        <v>762</v>
      </c>
      <c r="H7">
        <f t="shared" si="0"/>
        <v>76.2</v>
      </c>
      <c r="I7" s="1">
        <f t="shared" si="1"/>
        <v>17.337883959044369</v>
      </c>
    </row>
    <row r="8" spans="1:9" x14ac:dyDescent="0.2">
      <c r="A8" t="s">
        <v>6</v>
      </c>
      <c r="B8">
        <v>1</v>
      </c>
      <c r="C8" t="s">
        <v>20</v>
      </c>
      <c r="D8">
        <v>60</v>
      </c>
      <c r="E8">
        <v>1000</v>
      </c>
      <c r="F8">
        <v>4225</v>
      </c>
      <c r="G8">
        <v>528</v>
      </c>
      <c r="H8">
        <f t="shared" si="0"/>
        <v>52.800000000000004</v>
      </c>
      <c r="I8" s="1">
        <f t="shared" si="1"/>
        <v>12.497041420118343</v>
      </c>
    </row>
    <row r="9" spans="1:9" x14ac:dyDescent="0.2">
      <c r="A9" t="s">
        <v>6</v>
      </c>
      <c r="B9">
        <v>2</v>
      </c>
      <c r="C9" t="s">
        <v>20</v>
      </c>
      <c r="D9">
        <v>60</v>
      </c>
      <c r="E9">
        <v>1000</v>
      </c>
      <c r="F9">
        <v>4225</v>
      </c>
      <c r="G9">
        <v>620</v>
      </c>
      <c r="H9">
        <f t="shared" si="0"/>
        <v>62</v>
      </c>
      <c r="I9" s="1">
        <f t="shared" si="1"/>
        <v>14.67455621301775</v>
      </c>
    </row>
    <row r="10" spans="1:9" x14ac:dyDescent="0.2">
      <c r="A10" t="s">
        <v>6</v>
      </c>
      <c r="B10">
        <v>3</v>
      </c>
      <c r="C10" t="s">
        <v>20</v>
      </c>
      <c r="D10">
        <v>60</v>
      </c>
      <c r="E10">
        <v>1000</v>
      </c>
      <c r="F10">
        <v>4230</v>
      </c>
      <c r="G10">
        <v>658</v>
      </c>
      <c r="H10">
        <f t="shared" si="0"/>
        <v>65.8</v>
      </c>
      <c r="I10" s="1">
        <f t="shared" si="1"/>
        <v>15.555555555555555</v>
      </c>
    </row>
    <row r="11" spans="1:9" x14ac:dyDescent="0.2">
      <c r="A11" t="s">
        <v>7</v>
      </c>
      <c r="B11">
        <v>1</v>
      </c>
      <c r="C11" t="s">
        <v>20</v>
      </c>
      <c r="D11">
        <v>80</v>
      </c>
      <c r="E11">
        <v>1000</v>
      </c>
      <c r="F11">
        <v>4005</v>
      </c>
      <c r="G11">
        <v>656</v>
      </c>
      <c r="H11">
        <f t="shared" si="0"/>
        <v>65.600000000000009</v>
      </c>
      <c r="I11" s="1">
        <f t="shared" si="1"/>
        <v>16.37952559300874</v>
      </c>
    </row>
    <row r="12" spans="1:9" x14ac:dyDescent="0.2">
      <c r="A12" t="s">
        <v>7</v>
      </c>
      <c r="B12">
        <v>2</v>
      </c>
      <c r="C12" t="s">
        <v>20</v>
      </c>
      <c r="D12">
        <v>80</v>
      </c>
      <c r="E12">
        <v>1000</v>
      </c>
      <c r="F12">
        <v>3965</v>
      </c>
      <c r="G12">
        <v>426</v>
      </c>
      <c r="H12">
        <f t="shared" si="0"/>
        <v>42.6</v>
      </c>
      <c r="I12" s="1">
        <f t="shared" si="1"/>
        <v>10.744010088272384</v>
      </c>
    </row>
    <row r="13" spans="1:9" x14ac:dyDescent="0.2">
      <c r="A13" t="s">
        <v>7</v>
      </c>
      <c r="B13">
        <v>3</v>
      </c>
      <c r="C13" t="s">
        <v>20</v>
      </c>
      <c r="D13">
        <v>80</v>
      </c>
      <c r="E13">
        <v>1000</v>
      </c>
      <c r="F13">
        <v>4020</v>
      </c>
      <c r="G13">
        <v>452</v>
      </c>
      <c r="H13">
        <f t="shared" si="0"/>
        <v>45.2</v>
      </c>
      <c r="I13" s="1">
        <f t="shared" si="1"/>
        <v>11.243781094527364</v>
      </c>
    </row>
    <row r="14" spans="1:9" x14ac:dyDescent="0.2">
      <c r="A14" t="s">
        <v>8</v>
      </c>
      <c r="B14">
        <v>1</v>
      </c>
      <c r="C14" t="s">
        <v>20</v>
      </c>
      <c r="D14">
        <v>100</v>
      </c>
      <c r="E14">
        <v>1000</v>
      </c>
      <c r="F14">
        <v>3025</v>
      </c>
      <c r="G14">
        <v>170</v>
      </c>
      <c r="H14">
        <f t="shared" si="0"/>
        <v>17</v>
      </c>
      <c r="I14" s="1">
        <f t="shared" si="1"/>
        <v>5.6198347107438016</v>
      </c>
    </row>
    <row r="15" spans="1:9" x14ac:dyDescent="0.2">
      <c r="A15" t="s">
        <v>8</v>
      </c>
      <c r="B15">
        <v>2</v>
      </c>
      <c r="C15" t="s">
        <v>20</v>
      </c>
      <c r="D15">
        <v>100</v>
      </c>
      <c r="E15">
        <v>1000</v>
      </c>
      <c r="F15">
        <v>3015</v>
      </c>
      <c r="G15">
        <v>346</v>
      </c>
      <c r="H15">
        <f t="shared" si="0"/>
        <v>34.599999999999994</v>
      </c>
      <c r="I15" s="1">
        <f t="shared" si="1"/>
        <v>11.475953565505804</v>
      </c>
    </row>
    <row r="16" spans="1:9" x14ac:dyDescent="0.2">
      <c r="A16" t="s">
        <v>8</v>
      </c>
      <c r="B16">
        <v>3</v>
      </c>
      <c r="C16" t="s">
        <v>20</v>
      </c>
      <c r="D16">
        <v>100</v>
      </c>
      <c r="E16">
        <v>1000</v>
      </c>
      <c r="F16">
        <v>3020</v>
      </c>
      <c r="G16">
        <v>244</v>
      </c>
      <c r="H16">
        <f t="shared" si="0"/>
        <v>24.4</v>
      </c>
      <c r="I16" s="1">
        <f t="shared" si="1"/>
        <v>8.0794701986754962</v>
      </c>
    </row>
    <row r="17" spans="1:9" x14ac:dyDescent="0.2">
      <c r="A17" t="s">
        <v>19</v>
      </c>
      <c r="B17">
        <v>1</v>
      </c>
      <c r="C17" t="s">
        <v>29</v>
      </c>
      <c r="D17">
        <v>0</v>
      </c>
      <c r="E17">
        <v>1000</v>
      </c>
      <c r="F17">
        <v>4095</v>
      </c>
      <c r="G17">
        <v>600</v>
      </c>
      <c r="H17">
        <f t="shared" si="0"/>
        <v>60</v>
      </c>
      <c r="I17" s="1">
        <f t="shared" si="1"/>
        <v>14.652014652014653</v>
      </c>
    </row>
    <row r="18" spans="1:9" x14ac:dyDescent="0.2">
      <c r="A18" t="s">
        <v>19</v>
      </c>
      <c r="B18">
        <v>2</v>
      </c>
      <c r="C18" t="s">
        <v>29</v>
      </c>
      <c r="D18">
        <v>0</v>
      </c>
      <c r="E18">
        <v>1000</v>
      </c>
      <c r="F18">
        <v>4585</v>
      </c>
      <c r="G18">
        <v>656</v>
      </c>
      <c r="H18">
        <f t="shared" si="0"/>
        <v>65.600000000000009</v>
      </c>
      <c r="I18" s="1">
        <f t="shared" si="1"/>
        <v>14.307524536532171</v>
      </c>
    </row>
    <row r="19" spans="1:9" x14ac:dyDescent="0.2">
      <c r="A19" t="s">
        <v>19</v>
      </c>
      <c r="B19">
        <v>3</v>
      </c>
      <c r="C19" t="s">
        <v>29</v>
      </c>
      <c r="D19">
        <v>0</v>
      </c>
      <c r="E19">
        <v>1000</v>
      </c>
      <c r="F19">
        <v>4795</v>
      </c>
      <c r="G19">
        <v>734</v>
      </c>
      <c r="H19">
        <f t="shared" si="0"/>
        <v>73.400000000000006</v>
      </c>
      <c r="I19" s="1">
        <f t="shared" si="1"/>
        <v>15.307612095933266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8000-57A6-A64E-8F72-3B5A5C4E4D54}">
  <dimension ref="A1:I19"/>
  <sheetViews>
    <sheetView workbookViewId="0">
      <selection activeCell="A2" sqref="A2"/>
    </sheetView>
  </sheetViews>
  <sheetFormatPr baseColWidth="10" defaultRowHeight="16" x14ac:dyDescent="0.2"/>
  <sheetData>
    <row r="1" spans="1:9" x14ac:dyDescent="0.2">
      <c r="A1" t="s">
        <v>30</v>
      </c>
      <c r="B1" t="s">
        <v>3</v>
      </c>
      <c r="C1" t="s">
        <v>1</v>
      </c>
      <c r="D1" t="s">
        <v>31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</row>
    <row r="2" spans="1:9" x14ac:dyDescent="0.2">
      <c r="A2" t="s">
        <v>9</v>
      </c>
      <c r="B2">
        <v>1</v>
      </c>
      <c r="C2" t="s">
        <v>21</v>
      </c>
      <c r="D2">
        <v>20</v>
      </c>
      <c r="E2">
        <v>1000</v>
      </c>
      <c r="F2">
        <v>4435</v>
      </c>
      <c r="G2">
        <v>692</v>
      </c>
      <c r="H2">
        <f t="shared" ref="H2:H16" si="0">G2/E2*100</f>
        <v>69.199999999999989</v>
      </c>
      <c r="I2" s="1">
        <f t="shared" ref="I2:I16" si="1">G2/F2*100</f>
        <v>15.603156708004509</v>
      </c>
    </row>
    <row r="3" spans="1:9" x14ac:dyDescent="0.2">
      <c r="A3" t="s">
        <v>9</v>
      </c>
      <c r="B3">
        <v>2</v>
      </c>
      <c r="C3" t="s">
        <v>21</v>
      </c>
      <c r="D3">
        <v>20</v>
      </c>
      <c r="E3">
        <v>1000</v>
      </c>
      <c r="F3">
        <v>4435</v>
      </c>
      <c r="G3">
        <v>788</v>
      </c>
      <c r="H3">
        <f t="shared" si="0"/>
        <v>78.8</v>
      </c>
      <c r="I3" s="1">
        <f t="shared" si="1"/>
        <v>17.767756482525364</v>
      </c>
    </row>
    <row r="4" spans="1:9" x14ac:dyDescent="0.2">
      <c r="A4" t="s">
        <v>9</v>
      </c>
      <c r="B4">
        <v>3</v>
      </c>
      <c r="C4" t="s">
        <v>21</v>
      </c>
      <c r="D4">
        <v>20</v>
      </c>
      <c r="E4">
        <v>1000</v>
      </c>
      <c r="F4">
        <v>4425</v>
      </c>
      <c r="G4">
        <v>432</v>
      </c>
      <c r="H4">
        <f t="shared" si="0"/>
        <v>43.2</v>
      </c>
      <c r="I4" s="1">
        <f t="shared" si="1"/>
        <v>9.7627118644067803</v>
      </c>
    </row>
    <row r="5" spans="1:9" x14ac:dyDescent="0.2">
      <c r="A5" t="s">
        <v>10</v>
      </c>
      <c r="B5">
        <v>1</v>
      </c>
      <c r="C5" t="s">
        <v>21</v>
      </c>
      <c r="D5">
        <v>40</v>
      </c>
      <c r="E5">
        <v>1000</v>
      </c>
      <c r="F5">
        <v>4030</v>
      </c>
      <c r="G5">
        <v>633</v>
      </c>
      <c r="H5">
        <f t="shared" si="0"/>
        <v>63.3</v>
      </c>
      <c r="I5" s="1">
        <f t="shared" si="1"/>
        <v>15.707196029776673</v>
      </c>
    </row>
    <row r="6" spans="1:9" x14ac:dyDescent="0.2">
      <c r="A6" t="s">
        <v>10</v>
      </c>
      <c r="B6">
        <v>2</v>
      </c>
      <c r="C6" t="s">
        <v>21</v>
      </c>
      <c r="D6">
        <v>40</v>
      </c>
      <c r="E6">
        <v>1000</v>
      </c>
      <c r="F6">
        <v>4030</v>
      </c>
      <c r="G6">
        <v>874</v>
      </c>
      <c r="H6">
        <f t="shared" si="0"/>
        <v>87.4</v>
      </c>
      <c r="I6" s="1">
        <f t="shared" si="1"/>
        <v>21.687344913151367</v>
      </c>
    </row>
    <row r="7" spans="1:9" x14ac:dyDescent="0.2">
      <c r="A7" t="s">
        <v>10</v>
      </c>
      <c r="B7">
        <v>3</v>
      </c>
      <c r="C7" t="s">
        <v>21</v>
      </c>
      <c r="D7">
        <v>40</v>
      </c>
      <c r="E7">
        <v>1000</v>
      </c>
      <c r="F7">
        <v>3805</v>
      </c>
      <c r="G7">
        <v>708</v>
      </c>
      <c r="H7">
        <f t="shared" si="0"/>
        <v>70.8</v>
      </c>
      <c r="I7" s="1">
        <f t="shared" si="1"/>
        <v>18.607095926412615</v>
      </c>
    </row>
    <row r="8" spans="1:9" x14ac:dyDescent="0.2">
      <c r="A8" t="s">
        <v>11</v>
      </c>
      <c r="B8">
        <v>1</v>
      </c>
      <c r="C8" t="s">
        <v>21</v>
      </c>
      <c r="D8">
        <v>60</v>
      </c>
      <c r="E8">
        <v>1000</v>
      </c>
      <c r="F8">
        <v>3680</v>
      </c>
      <c r="G8">
        <v>808</v>
      </c>
      <c r="H8">
        <f t="shared" si="0"/>
        <v>80.800000000000011</v>
      </c>
      <c r="I8" s="1">
        <f t="shared" si="1"/>
        <v>21.956521739130437</v>
      </c>
    </row>
    <row r="9" spans="1:9" x14ac:dyDescent="0.2">
      <c r="A9" t="s">
        <v>11</v>
      </c>
      <c r="B9">
        <v>2</v>
      </c>
      <c r="C9" t="s">
        <v>21</v>
      </c>
      <c r="D9">
        <v>60</v>
      </c>
      <c r="E9">
        <v>1000</v>
      </c>
      <c r="F9">
        <v>3730</v>
      </c>
      <c r="G9">
        <v>806</v>
      </c>
      <c r="H9">
        <f t="shared" si="0"/>
        <v>80.600000000000009</v>
      </c>
      <c r="I9" s="1">
        <f t="shared" si="1"/>
        <v>21.608579088471849</v>
      </c>
    </row>
    <row r="10" spans="1:9" x14ac:dyDescent="0.2">
      <c r="A10" t="s">
        <v>11</v>
      </c>
      <c r="B10">
        <v>3</v>
      </c>
      <c r="C10" t="s">
        <v>21</v>
      </c>
      <c r="D10">
        <v>60</v>
      </c>
      <c r="E10">
        <v>1000</v>
      </c>
      <c r="F10">
        <v>3745</v>
      </c>
      <c r="G10">
        <v>790</v>
      </c>
      <c r="H10">
        <f t="shared" si="0"/>
        <v>79</v>
      </c>
      <c r="I10" s="1">
        <f t="shared" si="1"/>
        <v>21.094793057409881</v>
      </c>
    </row>
    <row r="11" spans="1:9" x14ac:dyDescent="0.2">
      <c r="A11" t="s">
        <v>12</v>
      </c>
      <c r="B11">
        <v>1</v>
      </c>
      <c r="C11" t="s">
        <v>21</v>
      </c>
      <c r="D11">
        <v>80</v>
      </c>
      <c r="E11">
        <v>1000</v>
      </c>
      <c r="F11">
        <v>3400</v>
      </c>
      <c r="G11">
        <v>1764</v>
      </c>
      <c r="H11">
        <f t="shared" si="0"/>
        <v>176.4</v>
      </c>
      <c r="I11" s="1">
        <f t="shared" si="1"/>
        <v>51.882352941176471</v>
      </c>
    </row>
    <row r="12" spans="1:9" x14ac:dyDescent="0.2">
      <c r="A12" t="s">
        <v>12</v>
      </c>
      <c r="B12">
        <v>2</v>
      </c>
      <c r="C12" t="s">
        <v>21</v>
      </c>
      <c r="D12">
        <v>80</v>
      </c>
      <c r="E12">
        <v>1000</v>
      </c>
      <c r="F12">
        <v>2795</v>
      </c>
      <c r="G12">
        <v>1228</v>
      </c>
      <c r="H12">
        <f t="shared" si="0"/>
        <v>122.8</v>
      </c>
      <c r="I12" s="1">
        <f t="shared" si="1"/>
        <v>43.935599284436492</v>
      </c>
    </row>
    <row r="13" spans="1:9" x14ac:dyDescent="0.2">
      <c r="A13" t="s">
        <v>12</v>
      </c>
      <c r="B13">
        <v>3</v>
      </c>
      <c r="C13" t="s">
        <v>21</v>
      </c>
      <c r="D13">
        <v>80</v>
      </c>
      <c r="E13">
        <v>1000</v>
      </c>
      <c r="F13">
        <v>2785</v>
      </c>
      <c r="G13">
        <v>1228</v>
      </c>
      <c r="H13">
        <f t="shared" si="0"/>
        <v>122.8</v>
      </c>
      <c r="I13" s="1">
        <f t="shared" si="1"/>
        <v>44.093357271095151</v>
      </c>
    </row>
    <row r="14" spans="1:9" x14ac:dyDescent="0.2">
      <c r="A14" t="s">
        <v>13</v>
      </c>
      <c r="B14">
        <v>1</v>
      </c>
      <c r="C14" t="s">
        <v>21</v>
      </c>
      <c r="D14">
        <v>100</v>
      </c>
      <c r="E14">
        <v>1000</v>
      </c>
      <c r="F14">
        <v>3000</v>
      </c>
      <c r="G14">
        <v>632</v>
      </c>
      <c r="H14">
        <f t="shared" si="0"/>
        <v>63.2</v>
      </c>
      <c r="I14" s="1">
        <f t="shared" si="1"/>
        <v>21.066666666666666</v>
      </c>
    </row>
    <row r="15" spans="1:9" x14ac:dyDescent="0.2">
      <c r="A15" t="s">
        <v>13</v>
      </c>
      <c r="B15">
        <v>2</v>
      </c>
      <c r="C15" t="s">
        <v>21</v>
      </c>
      <c r="D15">
        <v>100</v>
      </c>
      <c r="E15">
        <v>1000</v>
      </c>
      <c r="F15">
        <v>3000</v>
      </c>
      <c r="G15">
        <v>694</v>
      </c>
      <c r="H15">
        <f t="shared" si="0"/>
        <v>69.399999999999991</v>
      </c>
      <c r="I15" s="1">
        <f t="shared" si="1"/>
        <v>23.133333333333333</v>
      </c>
    </row>
    <row r="16" spans="1:9" x14ac:dyDescent="0.2">
      <c r="A16" t="s">
        <v>13</v>
      </c>
      <c r="B16">
        <v>3</v>
      </c>
      <c r="C16" t="s">
        <v>21</v>
      </c>
      <c r="D16">
        <v>100</v>
      </c>
      <c r="E16">
        <v>1000</v>
      </c>
      <c r="F16">
        <v>3000</v>
      </c>
      <c r="G16">
        <v>734</v>
      </c>
      <c r="H16">
        <f t="shared" si="0"/>
        <v>73.400000000000006</v>
      </c>
      <c r="I16" s="1">
        <f t="shared" si="1"/>
        <v>24.466666666666669</v>
      </c>
    </row>
    <row r="17" spans="1:9" x14ac:dyDescent="0.2">
      <c r="A17" t="s">
        <v>19</v>
      </c>
      <c r="B17">
        <v>1</v>
      </c>
      <c r="C17" t="s">
        <v>29</v>
      </c>
      <c r="D17">
        <v>0</v>
      </c>
      <c r="E17">
        <v>1000</v>
      </c>
      <c r="F17">
        <v>4095</v>
      </c>
      <c r="G17">
        <v>600</v>
      </c>
      <c r="H17">
        <f t="shared" ref="H17:H19" si="2">G17/E17*100</f>
        <v>60</v>
      </c>
      <c r="I17" s="1">
        <f t="shared" ref="I17:I19" si="3">G17/F17*100</f>
        <v>14.652014652014653</v>
      </c>
    </row>
    <row r="18" spans="1:9" x14ac:dyDescent="0.2">
      <c r="A18" t="s">
        <v>19</v>
      </c>
      <c r="B18">
        <v>2</v>
      </c>
      <c r="C18" t="s">
        <v>29</v>
      </c>
      <c r="D18">
        <v>0</v>
      </c>
      <c r="E18">
        <v>1000</v>
      </c>
      <c r="F18">
        <v>4585</v>
      </c>
      <c r="G18">
        <v>656</v>
      </c>
      <c r="H18">
        <f t="shared" si="2"/>
        <v>65.600000000000009</v>
      </c>
      <c r="I18" s="1">
        <f t="shared" si="3"/>
        <v>14.307524536532171</v>
      </c>
    </row>
    <row r="19" spans="1:9" x14ac:dyDescent="0.2">
      <c r="A19" t="s">
        <v>19</v>
      </c>
      <c r="B19">
        <v>3</v>
      </c>
      <c r="C19" t="s">
        <v>29</v>
      </c>
      <c r="D19">
        <v>0</v>
      </c>
      <c r="E19">
        <v>1000</v>
      </c>
      <c r="F19">
        <v>4795</v>
      </c>
      <c r="G19">
        <v>734</v>
      </c>
      <c r="H19">
        <f t="shared" si="2"/>
        <v>73.400000000000006</v>
      </c>
      <c r="I19" s="1">
        <f t="shared" si="3"/>
        <v>15.307612095933266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4469-EE95-EA43-809B-5A1FD87B71B9}">
  <dimension ref="A1:I19"/>
  <sheetViews>
    <sheetView workbookViewId="0"/>
  </sheetViews>
  <sheetFormatPr baseColWidth="10" defaultRowHeight="16" x14ac:dyDescent="0.2"/>
  <sheetData>
    <row r="1" spans="1:9" x14ac:dyDescent="0.2">
      <c r="A1" t="s">
        <v>30</v>
      </c>
      <c r="B1" t="s">
        <v>3</v>
      </c>
      <c r="C1" t="s">
        <v>1</v>
      </c>
      <c r="D1" t="s">
        <v>31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</row>
    <row r="2" spans="1:9" x14ac:dyDescent="0.2">
      <c r="A2" t="s">
        <v>14</v>
      </c>
      <c r="B2">
        <v>1</v>
      </c>
      <c r="C2" t="s">
        <v>22</v>
      </c>
      <c r="D2">
        <v>20</v>
      </c>
      <c r="E2">
        <v>1000</v>
      </c>
      <c r="F2">
        <v>4445</v>
      </c>
      <c r="G2">
        <v>466</v>
      </c>
      <c r="H2">
        <f t="shared" ref="H2:H19" si="0">G2/E2*100</f>
        <v>46.6</v>
      </c>
      <c r="I2" s="1">
        <f t="shared" ref="I2:I19" si="1">G2/F2*100</f>
        <v>10.483689538807649</v>
      </c>
    </row>
    <row r="3" spans="1:9" x14ac:dyDescent="0.2">
      <c r="A3" t="s">
        <v>14</v>
      </c>
      <c r="B3">
        <v>2</v>
      </c>
      <c r="C3" t="s">
        <v>22</v>
      </c>
      <c r="D3">
        <v>20</v>
      </c>
      <c r="E3">
        <v>1000</v>
      </c>
      <c r="F3">
        <v>4390</v>
      </c>
      <c r="G3">
        <v>442</v>
      </c>
      <c r="H3">
        <f t="shared" si="0"/>
        <v>44.2</v>
      </c>
      <c r="I3" s="1">
        <f t="shared" si="1"/>
        <v>10.068337129840547</v>
      </c>
    </row>
    <row r="4" spans="1:9" x14ac:dyDescent="0.2">
      <c r="A4" t="s">
        <v>14</v>
      </c>
      <c r="B4">
        <v>3</v>
      </c>
      <c r="C4" t="s">
        <v>22</v>
      </c>
      <c r="D4">
        <v>20</v>
      </c>
      <c r="E4">
        <v>1000</v>
      </c>
      <c r="F4">
        <v>4445</v>
      </c>
      <c r="G4">
        <v>552</v>
      </c>
      <c r="H4">
        <f t="shared" si="0"/>
        <v>55.2</v>
      </c>
      <c r="I4" s="1">
        <f t="shared" si="1"/>
        <v>12.418447694038246</v>
      </c>
    </row>
    <row r="5" spans="1:9" x14ac:dyDescent="0.2">
      <c r="A5" t="s">
        <v>15</v>
      </c>
      <c r="B5">
        <v>1</v>
      </c>
      <c r="C5" t="s">
        <v>22</v>
      </c>
      <c r="D5">
        <v>40</v>
      </c>
      <c r="E5">
        <v>1000</v>
      </c>
      <c r="F5">
        <v>4035</v>
      </c>
      <c r="G5">
        <v>452</v>
      </c>
      <c r="H5">
        <f t="shared" si="0"/>
        <v>45.2</v>
      </c>
      <c r="I5" s="1">
        <f t="shared" si="1"/>
        <v>11.201982651796778</v>
      </c>
    </row>
    <row r="6" spans="1:9" x14ac:dyDescent="0.2">
      <c r="A6" t="s">
        <v>15</v>
      </c>
      <c r="B6">
        <v>2</v>
      </c>
      <c r="C6" t="s">
        <v>22</v>
      </c>
      <c r="D6">
        <v>40</v>
      </c>
      <c r="E6">
        <v>1000</v>
      </c>
      <c r="F6">
        <v>4085</v>
      </c>
      <c r="G6">
        <v>474</v>
      </c>
      <c r="H6">
        <f t="shared" si="0"/>
        <v>47.4</v>
      </c>
      <c r="I6" s="1">
        <f t="shared" si="1"/>
        <v>11.60342717258262</v>
      </c>
    </row>
    <row r="7" spans="1:9" x14ac:dyDescent="0.2">
      <c r="A7" t="s">
        <v>15</v>
      </c>
      <c r="B7">
        <v>3</v>
      </c>
      <c r="C7" t="s">
        <v>22</v>
      </c>
      <c r="D7">
        <v>40</v>
      </c>
      <c r="E7">
        <v>1000</v>
      </c>
      <c r="F7">
        <v>4090</v>
      </c>
      <c r="G7">
        <v>808</v>
      </c>
      <c r="H7">
        <f t="shared" si="0"/>
        <v>80.800000000000011</v>
      </c>
      <c r="I7" s="1">
        <f t="shared" si="1"/>
        <v>19.755501222493887</v>
      </c>
    </row>
    <row r="8" spans="1:9" x14ac:dyDescent="0.2">
      <c r="A8" t="s">
        <v>16</v>
      </c>
      <c r="B8">
        <v>1</v>
      </c>
      <c r="C8" t="s">
        <v>22</v>
      </c>
      <c r="D8">
        <v>60</v>
      </c>
      <c r="E8">
        <v>1000</v>
      </c>
      <c r="F8">
        <v>3730</v>
      </c>
      <c r="G8">
        <v>1272</v>
      </c>
      <c r="H8">
        <f t="shared" si="0"/>
        <v>127.2</v>
      </c>
      <c r="I8" s="1">
        <f t="shared" si="1"/>
        <v>34.101876675603215</v>
      </c>
    </row>
    <row r="9" spans="1:9" x14ac:dyDescent="0.2">
      <c r="A9" t="s">
        <v>16</v>
      </c>
      <c r="B9">
        <v>2</v>
      </c>
      <c r="C9" t="s">
        <v>22</v>
      </c>
      <c r="D9">
        <v>60</v>
      </c>
      <c r="E9">
        <v>1000</v>
      </c>
      <c r="F9">
        <v>3735</v>
      </c>
      <c r="G9">
        <v>912</v>
      </c>
      <c r="H9">
        <f t="shared" si="0"/>
        <v>91.2</v>
      </c>
      <c r="I9" s="1">
        <f t="shared" si="1"/>
        <v>24.417670682730925</v>
      </c>
    </row>
    <row r="10" spans="1:9" x14ac:dyDescent="0.2">
      <c r="A10" t="s">
        <v>16</v>
      </c>
      <c r="B10">
        <v>3</v>
      </c>
      <c r="C10" t="s">
        <v>22</v>
      </c>
      <c r="D10">
        <v>60</v>
      </c>
      <c r="E10">
        <v>1000</v>
      </c>
      <c r="F10">
        <v>3730</v>
      </c>
      <c r="G10">
        <v>864</v>
      </c>
      <c r="H10">
        <f t="shared" si="0"/>
        <v>86.4</v>
      </c>
      <c r="I10" s="1">
        <f t="shared" si="1"/>
        <v>23.163538873994639</v>
      </c>
    </row>
    <row r="11" spans="1:9" x14ac:dyDescent="0.2">
      <c r="A11" t="s">
        <v>17</v>
      </c>
      <c r="B11">
        <v>1</v>
      </c>
      <c r="C11" t="s">
        <v>22</v>
      </c>
      <c r="D11">
        <v>80</v>
      </c>
      <c r="E11">
        <v>1000</v>
      </c>
      <c r="F11">
        <v>3370</v>
      </c>
      <c r="G11">
        <v>1719</v>
      </c>
      <c r="H11">
        <f t="shared" si="0"/>
        <v>171.9</v>
      </c>
      <c r="I11" s="1">
        <f t="shared" si="1"/>
        <v>51.008902077151333</v>
      </c>
    </row>
    <row r="12" spans="1:9" x14ac:dyDescent="0.2">
      <c r="A12" t="s">
        <v>17</v>
      </c>
      <c r="B12">
        <v>2</v>
      </c>
      <c r="C12" t="s">
        <v>22</v>
      </c>
      <c r="D12">
        <v>80</v>
      </c>
      <c r="E12">
        <v>1000</v>
      </c>
      <c r="F12">
        <v>3370</v>
      </c>
      <c r="G12">
        <v>1030</v>
      </c>
      <c r="H12">
        <f t="shared" si="0"/>
        <v>103</v>
      </c>
      <c r="I12" s="1">
        <f t="shared" si="1"/>
        <v>30.563798219584569</v>
      </c>
    </row>
    <row r="13" spans="1:9" x14ac:dyDescent="0.2">
      <c r="A13" t="s">
        <v>17</v>
      </c>
      <c r="B13">
        <v>3</v>
      </c>
      <c r="C13" t="s">
        <v>22</v>
      </c>
      <c r="D13">
        <v>80</v>
      </c>
      <c r="E13">
        <v>1000</v>
      </c>
      <c r="F13">
        <v>3365</v>
      </c>
      <c r="G13">
        <v>1178</v>
      </c>
      <c r="H13">
        <f t="shared" si="0"/>
        <v>117.8</v>
      </c>
      <c r="I13" s="1">
        <f t="shared" si="1"/>
        <v>35.007429420505197</v>
      </c>
    </row>
    <row r="14" spans="1:9" x14ac:dyDescent="0.2">
      <c r="A14" t="s">
        <v>18</v>
      </c>
      <c r="B14">
        <v>1</v>
      </c>
      <c r="C14" t="s">
        <v>22</v>
      </c>
      <c r="D14">
        <v>100</v>
      </c>
      <c r="E14">
        <v>1000</v>
      </c>
      <c r="F14">
        <v>3015</v>
      </c>
      <c r="G14">
        <v>774</v>
      </c>
      <c r="H14">
        <f t="shared" si="0"/>
        <v>77.400000000000006</v>
      </c>
      <c r="I14" s="1">
        <f t="shared" si="1"/>
        <v>25.671641791044774</v>
      </c>
    </row>
    <row r="15" spans="1:9" x14ac:dyDescent="0.2">
      <c r="A15" t="s">
        <v>18</v>
      </c>
      <c r="B15">
        <v>2</v>
      </c>
      <c r="C15" t="s">
        <v>22</v>
      </c>
      <c r="D15">
        <v>100</v>
      </c>
      <c r="E15">
        <v>1000</v>
      </c>
      <c r="F15">
        <v>3005</v>
      </c>
      <c r="G15">
        <v>406</v>
      </c>
      <c r="H15">
        <f t="shared" si="0"/>
        <v>40.6</v>
      </c>
      <c r="I15" s="1">
        <f t="shared" si="1"/>
        <v>13.510815307820302</v>
      </c>
    </row>
    <row r="16" spans="1:9" x14ac:dyDescent="0.2">
      <c r="A16" t="s">
        <v>18</v>
      </c>
      <c r="B16">
        <v>3</v>
      </c>
      <c r="C16" t="s">
        <v>22</v>
      </c>
      <c r="D16">
        <v>100</v>
      </c>
      <c r="E16">
        <v>1000</v>
      </c>
      <c r="F16">
        <v>3015</v>
      </c>
      <c r="G16">
        <v>370</v>
      </c>
      <c r="H16">
        <f t="shared" si="0"/>
        <v>37</v>
      </c>
      <c r="I16" s="1">
        <f t="shared" si="1"/>
        <v>12.271973466003317</v>
      </c>
    </row>
    <row r="17" spans="1:9" x14ac:dyDescent="0.2">
      <c r="A17" t="s">
        <v>19</v>
      </c>
      <c r="B17">
        <v>1</v>
      </c>
      <c r="C17" t="s">
        <v>29</v>
      </c>
      <c r="D17">
        <v>0</v>
      </c>
      <c r="E17">
        <v>1000</v>
      </c>
      <c r="F17">
        <v>4095</v>
      </c>
      <c r="G17">
        <v>600</v>
      </c>
      <c r="H17">
        <f t="shared" si="0"/>
        <v>60</v>
      </c>
      <c r="I17" s="1">
        <f t="shared" si="1"/>
        <v>14.652014652014653</v>
      </c>
    </row>
    <row r="18" spans="1:9" x14ac:dyDescent="0.2">
      <c r="A18" t="s">
        <v>19</v>
      </c>
      <c r="B18">
        <v>2</v>
      </c>
      <c r="C18" t="s">
        <v>29</v>
      </c>
      <c r="D18">
        <v>0</v>
      </c>
      <c r="E18">
        <v>1000</v>
      </c>
      <c r="F18">
        <v>4585</v>
      </c>
      <c r="G18">
        <v>656</v>
      </c>
      <c r="H18">
        <f t="shared" si="0"/>
        <v>65.600000000000009</v>
      </c>
      <c r="I18" s="1">
        <f t="shared" si="1"/>
        <v>14.307524536532171</v>
      </c>
    </row>
    <row r="19" spans="1:9" x14ac:dyDescent="0.2">
      <c r="A19" t="s">
        <v>19</v>
      </c>
      <c r="B19">
        <v>3</v>
      </c>
      <c r="C19" t="s">
        <v>29</v>
      </c>
      <c r="D19">
        <v>0</v>
      </c>
      <c r="E19">
        <v>1000</v>
      </c>
      <c r="F19">
        <v>4795</v>
      </c>
      <c r="G19">
        <v>734</v>
      </c>
      <c r="H19">
        <f t="shared" si="0"/>
        <v>73.400000000000006</v>
      </c>
      <c r="I19" s="1">
        <f t="shared" si="1"/>
        <v>15.307612095933266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produccion total</vt:lpstr>
      <vt:lpstr>tablapca</vt:lpstr>
      <vt:lpstr>Hoja5</vt:lpstr>
      <vt:lpstr>coco</vt:lpstr>
      <vt:lpstr>jitomate</vt:lpstr>
      <vt:lpstr>cafe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 Pacheco</dc:creator>
  <cp:lastModifiedBy>Raúl Pacheco</cp:lastModifiedBy>
  <dcterms:created xsi:type="dcterms:W3CDTF">2025-12-21T01:56:52Z</dcterms:created>
  <dcterms:modified xsi:type="dcterms:W3CDTF">2026-05-16T13:59:27Z</dcterms:modified>
</cp:coreProperties>
</file>